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c9aa4520d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1788a0760a6c41c6"/>
    <x:sheet xmlns:r="http://schemas.openxmlformats.org/officeDocument/2006/relationships" name="Conservative 12%" sheetId="2" r:id="Rdd18b7bca3cc4e0a"/>
    <x:sheet xmlns:r="http://schemas.openxmlformats.org/officeDocument/2006/relationships" name="Base 15%" sheetId="3" r:id="Rddfdf36fad9a4c85"/>
    <x:sheet xmlns:r="http://schemas.openxmlformats.org/officeDocument/2006/relationships" name="Aggressive 18%" sheetId="4" r:id="R8cfdc24ea6984647"/>
  </x:sheets>
</x:workbook>
</file>

<file path=xl/comments1.xml><?xml version="1.0" encoding="utf-8"?>
<x:comments xmlns:x="http://schemas.openxmlformats.org/spreadsheetml/2006/main">
  <x:authors>
    <x:author>Source</x:author>
  </x:authors>
  <x:commentList>
    <x:comment ref="B7" authorId="0">
      <x:text>
        <x:r>
          <x:t>Service NSW: fee shown as $107 on page.</x:t>
        </x:r>
      </x:text>
    </x:comment>
    <x:comment ref="B8" authorId="0">
      <x:text>
        <x:r>
          <x:t>NDIS Commission: no cost to register, but audit paid to approved quality auditor; costs vary.</x:t>
        </x:r>
      </x:text>
    </x:comment>
    <x:comment ref="B14" authorId="0">
      <x:text>
        <x:r>
          <x:t>Mable benchmark: 10% + 7.95% fees (approx 18%).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&quot;$&quot;#,##0"/>
    <x:numFmt numFmtId="165" formatCode="0.0%"/>
    <x:numFmt numFmtId="166" formatCode="0.0"/>
    <x:numFmt numFmtId="167" formatCode="0.0&quot;x&quot;"/>
  </x:numFmts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color rgb="000000FF"/>
    </x:font>
    <x:font>
      <x:color rgb="00008000"/>
    </x:font>
    <x:font>
      <x:i/>
      <x:color rgb="00404040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  <x:fill>
      <x:patternFill patternType="solid">
        <x:fgColor rgb="00FFF2CC"/>
      </x:patternFill>
    </x:fill>
    <x:fill>
      <x:patternFill patternType="solid">
        <x:fgColor rgb="00F2F2F2"/>
      </x:patternFill>
    </x:fill>
    <x:fill>
      <x:patternFill patternType="solid">
        <x:fgColor rgb="00E2EFDA"/>
      </x:patternFill>
    </x:fill>
  </x:fills>
  <x:borders count="11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  <x:border>
      <x:left/>
      <x:right/>
      <x:top style="thin">
        <x:color rgb="009E9E9E"/>
      </x:top>
      <x:bottom/>
      <x:diagonal/>
    </x:border>
    <x:border>
      <x:left/>
      <x:right style="thin">
        <x:color rgb="009E9E9E"/>
      </x:right>
      <x:top style="thin">
        <x:color rgb="009E9E9E"/>
      </x:top>
      <x:bottom/>
      <x:diagonal/>
    </x:border>
    <x:border>
      <x:left/>
      <x:right/>
      <x:top style="thin">
        <x:color rgb="009E9E9E"/>
      </x:top>
      <x:bottom style="thin">
        <x:color rgb="009E9E9E"/>
      </x:bottom>
      <x:diagonal/>
    </x:border>
    <x:border>
      <x:left/>
      <x:right style="thin">
        <x:color rgb="009E9E9E"/>
      </x:right>
      <x:top style="thin">
        <x:color rgb="009E9E9E"/>
      </x:top>
      <x:bottom style="thin">
        <x:color rgb="009E9E9E"/>
      </x:bottom>
      <x:diagonal/>
    </x:border>
    <x:border>
      <x:left style="thin">
        <x:color rgb="009E9E9E"/>
      </x:left>
      <x:right/>
      <x:top/>
      <x:bottom/>
      <x:diagonal/>
    </x:border>
    <x:border>
      <x:left/>
      <x:right style="thin">
        <x:color rgb="009E9E9E"/>
      </x:right>
      <x:top/>
      <x:bottom/>
      <x:diagonal/>
    </x:border>
    <x:border>
      <x:left style="thin">
        <x:color rgb="009E9E9E"/>
      </x:left>
      <x:right/>
      <x:top/>
      <x:bottom style="thin">
        <x:color rgb="009E9E9E"/>
      </x:bottom>
      <x:diagonal/>
    </x:border>
    <x:border>
      <x:left/>
      <x:right/>
      <x:top/>
      <x:bottom style="thin">
        <x:color rgb="009E9E9E"/>
      </x:bottom>
      <x:diagonal/>
    </x:border>
    <x:border>
      <x:left/>
      <x:right style="thin">
        <x:color rgb="009E9E9E"/>
      </x:right>
      <x:top/>
      <x:bottom style="thin">
        <x:color rgb="009E9E9E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164" fontId="3" fillId="4" borderId="1" xfId="0" applyAlignment="1">
      <x:alignment horizontal="right" vertical="center" wrapText="1"/>
    </x:xf>
    <x:xf numFmtId="1" fontId="3" fillId="4" borderId="1" xfId="0" applyAlignment="1">
      <x:alignment horizontal="right" vertical="center" wrapText="1"/>
    </x:xf>
    <x:xf numFmtId="165" fontId="3" fillId="4" borderId="1" xfId="0" applyAlignment="1">
      <x:alignment horizontal="right" vertical="center" wrapText="1"/>
    </x:xf>
    <x:xf numFmtId="0" fontId="2" fillId="3" borderId="1" xfId="0" applyAlignment="1">
      <x:alignment horizontal="left" vertical="center"/>
    </x:xf>
    <x:xf numFmtId="0" fontId="0" fillId="0" borderId="1" xfId="0"/>
    <x:xf numFmtId="1" fontId="0" fillId="0" borderId="1" xfId="0" applyAlignment="1">
      <x:alignment horizontal="right" vertical="center" wrapText="1"/>
    </x:xf>
    <x:xf numFmtId="0" fontId="2" fillId="5" borderId="1" xfId="0"/>
    <x:xf numFmtId="0" fontId="2" fillId="3" borderId="1" xfId="0" applyAlignment="1">
      <x:alignment horizontal="center" wrapText="1"/>
    </x:xf>
    <x:xf numFmtId="164" fontId="4" fillId="5" borderId="1" xfId="0" applyAlignment="1">
      <x:alignment horizontal="right" vertical="center"/>
    </x:xf>
    <x:xf numFmtId="1" fontId="4" fillId="5" borderId="1" xfId="0" applyAlignment="1">
      <x:alignment horizontal="right" vertical="center"/>
    </x:xf>
    <x:xf numFmtId="165" fontId="3" fillId="4" borderId="1" xfId="0" applyAlignment="1">
      <x:alignment horizontal="right" vertical="center"/>
    </x:xf>
    <x:xf numFmtId="1" fontId="0" fillId="0" borderId="1" xfId="0" applyAlignment="1">
      <x:alignment horizontal="center" vertical="center"/>
    </x:xf>
    <x:xf numFmtId="1" fontId="4" fillId="0" borderId="1" xfId="0" applyAlignment="1">
      <x:alignment horizontal="right" vertical="center"/>
    </x:xf>
    <x:xf numFmtId="1" fontId="0" fillId="0" borderId="1" xfId="0" applyAlignment="1">
      <x:alignment horizontal="right" vertical="center"/>
    </x:xf>
    <x:xf numFmtId="164" fontId="0" fillId="0" borderId="1" xfId="0" applyAlignment="1">
      <x:alignment horizontal="right" vertical="center"/>
    </x:xf>
    <x:xf numFmtId="165" fontId="0" fillId="0" borderId="1" xfId="0" applyAlignment="1">
      <x:alignment horizontal="right" vertical="center"/>
    </x:xf>
    <x:xf numFmtId="0" fontId="2" fillId="6" borderId="1" xfId="0" applyAlignment="1">
      <x:alignment horizontal="left" vertical="center" wrapText="1"/>
    </x:xf>
    <x:xf numFmtId="0" fontId="0" fillId="6" borderId="1" xfId="0" applyAlignment="1">
      <x:alignment horizontal="right" vertical="center" wrapText="1"/>
    </x:xf>
    <x:xf numFmtId="164" fontId="2" fillId="6" borderId="1" xfId="0" applyAlignment="1">
      <x:alignment horizontal="right" vertical="center" wrapText="1"/>
    </x:xf>
    <x:xf numFmtId="0" fontId="0" fillId="6" borderId="1" xfId="0" applyAlignment="1">
      <x:alignment horizontal="left" vertical="center" wrapText="1"/>
    </x:xf>
    <x:xf numFmtId="164" fontId="0" fillId="4" borderId="1" xfId="0" applyAlignment="1">
      <x:alignment horizontal="right" vertical="center"/>
    </x:xf>
    <x:xf numFmtId="166" fontId="0" fillId="6" borderId="1" xfId="0" applyAlignment="1">
      <x:alignment horizontal="right" vertical="center"/>
    </x:xf>
    <x:xf numFmtId="167" fontId="0" fillId="6" borderId="1" xfId="0" applyAlignment="1">
      <x:alignment horizontal="right" vertical="center"/>
    </x:xf>
    <x:xf numFmtId="0" fontId="2" fillId="5" borderId="1" xfId="0" applyAlignment="1">
      <x:alignment horizontal="left" vertical="center"/>
    </x:xf>
    <x:xf numFmtId="1" fontId="2" fillId="0" borderId="1" xfId="0" applyAlignment="1">
      <x:alignment horizontal="center" vertical="center"/>
    </x:xf>
    <x:xf numFmtId="166" fontId="0" fillId="0" borderId="1" xfId="0" applyAlignment="1">
      <x:alignment horizontal="right" vertical="center"/>
    </x:xf>
    <x:xf numFmtId="0" fontId="5" fillId="5" borderId="1" xfId="0" applyAlignment="1">
      <x:alignment horizontal="left" vertical="top" wrapText="1"/>
    </x:xf>
    <x:xf numFmtId="0" fontId="0" fillId="0" borderId="4" xfId="0"/>
    <x:xf numFmtId="0" fontId="0" fillId="0" borderId="5" xfId="0"/>
    <x:xf numFmtId="0" fontId="2" fillId="3" borderId="1" xfId="0" applyAlignment="1">
      <x:alignment horizontal="center" vertical="center"/>
    </x:xf>
    <x:xf numFmtId="164" fontId="0" fillId="0" borderId="1" xfId="0" applyAlignment="1">
      <x:alignment horizontal="right" vertical="center"/>
    </x:xf>
    <x:xf numFmtId="164" fontId="2" fillId="6" borderId="1" xfId="0" applyAlignment="1">
      <x:alignment horizontal="right" vertical="center"/>
    </x:xf>
    <x:xf numFmtId="0" fontId="0" fillId="0" borderId="2" xfId="0"/>
    <x:xf numFmtId="0" fontId="0" fillId="0" borderId="3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d5ec0fa77438c" /><Relationship Type="http://schemas.openxmlformats.org/officeDocument/2006/relationships/theme" Target="/xl/theme/theme1.xml" Id="Re8a2e95e1efb44e9" /><Relationship Type="http://schemas.openxmlformats.org/officeDocument/2006/relationships/sharedStrings" Target="/xl/sharedStrings.xml" Id="R225a3bbb1be64124" /><Relationship Type="http://schemas.openxmlformats.org/officeDocument/2006/relationships/worksheet" Target="/xl/worksheets/sheet1.xml" Id="R1788a0760a6c41c6" /><Relationship Type="http://schemas.openxmlformats.org/officeDocument/2006/relationships/worksheet" Target="/xl/worksheets/sheet2.xml" Id="Rdd18b7bca3cc4e0a" /><Relationship Type="http://schemas.openxmlformats.org/officeDocument/2006/relationships/worksheet" Target="/xl/worksheets/sheet3.xml" Id="Rddfdf36fad9a4c85" /><Relationship Type="http://schemas.openxmlformats.org/officeDocument/2006/relationships/worksheet" Target="/xl/worksheets/sheet4.xml" Id="R8cfdc24ea6984647" /><Relationship Type="http://schemas.microsoft.com/office/2017/10/relationships/person" Target="/xl/persons/person.xml" Id="R8b213f9129374e48" /></Relationships>
</file>

<file path=xl/persons/person.xml><?xml version="1.0" encoding="utf-8"?>
<xltc:personList xmlns:xltc="http://schemas.microsoft.com/office/spreadsheetml/2018/threadedcomments">
  <xltc:person displayName="Source" id="{87346F0D-4CD1-7171-177B-BD2CF9C42E7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af8a23d4ca04e75" /><Relationship Type="http://schemas.openxmlformats.org/officeDocument/2006/relationships/vmlDrawing" Target="/xl/drawings/vmldrawing.vml" Id="R2c381d27f68447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customWidth="1"/>
    <x:col min="2" max="2" width="18" customWidth="1"/>
    <x:col min="3" max="3" width="34" customWidth="1"/>
    <x:col min="4" max="4" width="46" customWidth="1"/>
  </x:cols>
  <x:sheetData>
    <x:row r="1" ht="28" customHeight="1">
      <x:c r="A1" s="1" t="inlineStr">
        <x:is>
          <x:t xml:space="preserve">MapAble NDIS Registration ROI Model — Inputs &amp; Shared Assumptions</x:t>
        </x:is>
      </x:c>
    </x:row>
    <x:row r="3">
      <x:c r="A3" s="2" t="inlineStr">
        <x:is>
          <x:t xml:space="preserve">Input</x:t>
        </x:is>
      </x:c>
      <x:c r="B3" s="2" t="inlineStr">
        <x:is>
          <x:t xml:space="preserve">Value</x:t>
        </x:is>
      </x:c>
      <x:c r="C3" s="2" t="inlineStr">
        <x:is>
          <x:t xml:space="preserve">Units / Notes</x:t>
        </x:is>
      </x:c>
      <x:c r="D3" s="2" t="inlineStr">
        <x:is>
          <x:t xml:space="preserve">Source URL</x:t>
        </x:is>
      </x:c>
    </x:row>
    <x:row r="4">
      <x:c r="A4" s="3" t="inlineStr">
        <x:is>
          <x:t xml:space="preserve">Hourly rate (worker)</x:t>
        </x:is>
      </x:c>
      <x:c r="B4" s="4" t="n">
        <x:v>55</x:v>
      </x:c>
      <x:c r="C4" s="3" t="inlineStr">
        <x:is>
          <x:t xml:space="preserve">AUD per hour</x:t>
        </x:is>
      </x:c>
      <x:c r="D4" s="3" t="inlineStr">
        <x:is>
          <x:t xml:space="preserve">Assumption (set by MapAble model input)</x:t>
        </x:is>
      </x:c>
    </x:row>
    <x:row r="5">
      <x:c r="A5" s="3" t="inlineStr">
        <x:is>
          <x:t xml:space="preserve">Billable hours per active worker</x:t>
        </x:is>
      </x:c>
      <x:c r="B5" s="5" t="n">
        <x:v>20</x:v>
      </x:c>
      <x:c r="C5" s="3" t="inlineStr">
        <x:is>
          <x:t xml:space="preserve">Hours per week</x:t>
        </x:is>
      </x:c>
      <x:c r="D5" s="3" t="inlineStr">
        <x:is>
          <x:t xml:space="preserve">Assumption (set by MapAble model input)</x:t>
        </x:is>
      </x:c>
    </x:row>
    <x:row r="6">
      <x:c r="A6" s="3" t="inlineStr">
        <x:is>
          <x:t xml:space="preserve">Weeks per year</x:t>
        </x:is>
      </x:c>
      <x:c r="B6" s="5" t="n">
        <x:v>52</x:v>
      </x:c>
      <x:c r="C6" s="3" t="inlineStr">
        <x:is>
          <x:t xml:space="preserve">Weeks</x:t>
        </x:is>
      </x:c>
      <x:c r="D6" s="3" t="inlineStr">
        <x:is>
          <x:t xml:space="preserve">Standard modelling convention</x:t>
        </x:is>
      </x:c>
    </x:row>
    <x:row r="7">
      <x:c r="A7" s="3" t="inlineStr">
        <x:is>
          <x:t xml:space="preserve">NDIS Worker Check fee (NSW, paid worker)</x:t>
        </x:is>
      </x:c>
      <x:c r="B7" s="4" t="n">
        <x:v>107</x:v>
      </x:c>
      <x:c r="C7" s="3" t="inlineStr">
        <x:is>
          <x:t xml:space="preserve">AUD per worker (one-off, 5-year validity)</x:t>
        </x:is>
      </x:c>
      <x:c r="D7" s="3" t="inlineStr">
        <x:is>
          <x:t xml:space="preserve">https://www.service.nsw.gov.au/transaction/ndiswc-apply</x:t>
        </x:is>
      </x:c>
    </x:row>
    <x:row r="8">
      <x:c r="A8" s="3" t="inlineStr">
        <x:is>
          <x:t xml:space="preserve">Verification audit cost (low)</x:t>
        </x:is>
      </x:c>
      <x:c r="B8" s="4" t="n">
        <x:v>900</x:v>
      </x:c>
      <x:c r="C8" s="3" t="inlineStr">
        <x:is>
          <x:t xml:space="preserve">AUD (estimate; actual via auditor quotes)</x:t>
        </x:is>
      </x:c>
      <x:c r="D8" s="3" t="inlineStr">
        <x:is>
          <x:t xml:space="preserve">https://www.ndiscommission.gov.au/provider-registration/apply-registration/types-audits</x:t>
        </x:is>
      </x:c>
    </x:row>
    <x:row r="9">
      <x:c r="A9" s="3" t="inlineStr">
        <x:is>
          <x:t xml:space="preserve">Verification audit cost (high)</x:t>
        </x:is>
      </x:c>
      <x:c r="B9" s="4" t="n">
        <x:v>2500</x:v>
      </x:c>
      <x:c r="C9" s="3" t="inlineStr">
        <x:is>
          <x:t xml:space="preserve">AUD (estimate; actual via auditor quotes)</x:t>
        </x:is>
      </x:c>
      <x:c r="D9" s="3" t="inlineStr">
        <x:is>
          <x:t xml:space="preserve">https://www.ndiscommission.gov.au/provider-registration/apply-registration/types-audits</x:t>
        </x:is>
      </x:c>
    </x:row>
    <x:row r="10">
      <x:c r="A10" s="3" t="inlineStr">
        <x:is>
          <x:t xml:space="preserve">Initial active workers used for payback calc</x:t>
        </x:is>
      </x:c>
      <x:c r="B10" s="5" t="n">
        <x:v>40</x:v>
      </x:c>
      <x:c r="C10" s="3" t="inlineStr">
        <x:is>
          <x:t xml:space="preserve">Workers (midpoint of 25–50 establishing)</x:t>
        </x:is>
      </x:c>
      <x:c r="D10" s="3" t="inlineStr">
        <x:is>
          <x:t xml:space="preserve">Assumption from your stated establishing phase</x:t>
        </x:is>
      </x:c>
    </x:row>
    <x:row r="11">
      <x:c r="A11" s="3" t="inlineStr">
        <x:is>
          <x:t xml:space="preserve">Scale target workers (reference)</x:t>
        </x:is>
      </x:c>
      <x:c r="B11" s="5" t="n">
        <x:v>1000</x:v>
      </x:c>
      <x:c r="C11" s="3" t="inlineStr">
        <x:is>
          <x:t xml:space="preserve">Workers (5-year target)</x:t>
        </x:is>
      </x:c>
      <x:c r="D11" s="3" t="inlineStr">
        <x:is>
          <x:t xml:space="preserve">Assumption from your stated 5-year target</x:t>
        </x:is>
      </x:c>
    </x:row>
    <x:row r="12">
      <x:c r="A12" s="3" t="inlineStr">
        <x:is>
          <x:t xml:space="preserve">Scenario take-rate — Conservative</x:t>
        </x:is>
      </x:c>
      <x:c r="B12" s="6" t="n">
        <x:v>0.12</x:v>
      </x:c>
      <x:c r="C12" s="3" t="inlineStr">
        <x:is>
          <x:t xml:space="preserve">12% platform take-rate</x:t>
        </x:is>
      </x:c>
      <x:c r="D12" s="3" t="inlineStr">
        <x:is>
          <x:t xml:space="preserve">Scenario assumption (lower fee)</x:t>
        </x:is>
      </x:c>
    </x:row>
    <x:row r="13">
      <x:c r="A13" s="3" t="inlineStr">
        <x:is>
          <x:t xml:space="preserve">Scenario take-rate — Base</x:t>
        </x:is>
      </x:c>
      <x:c r="B13" s="6" t="n">
        <x:v>0.15</x:v>
      </x:c>
      <x:c r="C13" s="3" t="inlineStr">
        <x:is>
          <x:t xml:space="preserve">15% platform take-rate</x:t>
        </x:is>
      </x:c>
      <x:c r="D13" s="3" t="inlineStr">
        <x:is>
          <x:t xml:space="preserve">Aligned with MapAble’s modelling example</x:t>
        </x:is>
      </x:c>
    </x:row>
    <x:row r="14">
      <x:c r="A14" s="3" t="inlineStr">
        <x:is>
          <x:t xml:space="preserve">Scenario take-rate — Aggressive</x:t>
        </x:is>
      </x:c>
      <x:c r="B14" s="6" t="n">
        <x:v>0.18</x:v>
      </x:c>
      <x:c r="C14" s="3" t="inlineStr">
        <x:is>
          <x:t xml:space="preserve">18% platform take-rate</x:t>
        </x:is>
      </x:c>
      <x:c r="D14" s="3" t="inlineStr">
        <x:is>
          <x:t xml:space="preserve">Benchmark vs Mable 10% + 7.95%</x:t>
        </x:is>
      </x:c>
    </x:row>
    <x:row r="17">
      <x:c r="A17" s="7" t="inlineStr">
        <x:is>
          <x:t xml:space="preserve">Growth ramp (avg active workers per year)</x:t>
        </x:is>
      </x:c>
      <x:c r="B17" s="31" t="n"/>
      <x:c r="C17" s="31" t="n"/>
      <x:c r="D17" s="32" t="n"/>
    </x:row>
    <x:row r="18">
      <x:c r="A18" s="2" t="inlineStr">
        <x:is>
          <x:t xml:space="preserve">Year</x:t>
        </x:is>
      </x:c>
      <x:c r="B18" s="2" t="inlineStr">
        <x:is>
          <x:t xml:space="preserve">Avg active workers</x:t>
        </x:is>
      </x:c>
      <x:c r="C18" s="2" t="inlineStr">
        <x:is>
          <x:t xml:space="preserve">Notes</x:t>
        </x:is>
      </x:c>
      <x:c r="D18" s="2" t="inlineStr">
        <x:is>
          <x:t xml:space="preserve">Source</x:t>
        </x:is>
      </x:c>
    </x:row>
    <x:row r="19">
      <x:c r="A19" s="9" t="n">
        <x:v>1</x:v>
      </x:c>
      <x:c r="B19" s="5" t="n">
        <x:v>40</x:v>
      </x:c>
      <x:c r="C19" s="3" t="inlineStr">
        <x:is>
          <x:t xml:space="preserve">Non-linear ramp (editable)</x:t>
        </x:is>
      </x:c>
      <x:c r="D19" s="3" t="inlineStr">
        <x:is>
          <x:t xml:space="preserve">Assumption</x:t>
        </x:is>
      </x:c>
    </x:row>
    <x:row r="20">
      <x:c r="A20" s="9" t="n">
        <x:v>2</x:v>
      </x:c>
      <x:c r="B20" s="5" t="n">
        <x:v>130</x:v>
      </x:c>
      <x:c r="C20" s="3" t="inlineStr">
        <x:is>
          <x:t xml:space="preserve"/>
        </x:is>
      </x:c>
      <x:c r="D20" s="3" t="inlineStr">
        <x:is>
          <x:t xml:space="preserve">Assumption</x:t>
        </x:is>
      </x:c>
    </x:row>
    <x:row r="21">
      <x:c r="A21" s="9" t="n">
        <x:v>3</x:v>
      </x:c>
      <x:c r="B21" s="5" t="n">
        <x:v>325</x:v>
      </x:c>
      <x:c r="C21" s="3" t="inlineStr">
        <x:is>
          <x:t xml:space="preserve"/>
        </x:is>
      </x:c>
      <x:c r="D21" s="3" t="inlineStr">
        <x:is>
          <x:t xml:space="preserve">Assumption</x:t>
        </x:is>
      </x:c>
    </x:row>
    <x:row r="22">
      <x:c r="A22" s="9" t="n">
        <x:v>4</x:v>
      </x:c>
      <x:c r="B22" s="5" t="n">
        <x:v>625</x:v>
      </x:c>
      <x:c r="C22" s="3" t="inlineStr">
        <x:is>
          <x:t xml:space="preserve"/>
        </x:is>
      </x:c>
      <x:c r="D22" s="3" t="inlineStr">
        <x:is>
          <x:t xml:space="preserve">Assumption</x:t>
        </x:is>
      </x:c>
    </x:row>
    <x:row r="23">
      <x:c r="A23" s="9" t="n">
        <x:v>5</x:v>
      </x:c>
      <x:c r="B23" s="5" t="n">
        <x:v>900</x:v>
      </x:c>
      <x:c r="C23" s="3" t="inlineStr">
        <x:is>
          <x:t xml:space="preserve"/>
        </x:is>
      </x:c>
      <x:c r="D23" s="3" t="inlineStr">
        <x:is>
          <x:t xml:space="preserve">Assumption</x:t>
        </x:is>
      </x:c>
    </x:row>
  </x:sheetData>
  <x:mergeCells>
    <x:mergeCell ref="A17:D17"/>
    <x:mergeCell ref="A1:H1"/>
  </x:mergeCells>
  <x:pageMargins left="0.7" right="0.7" top="0.75" bottom="0.75" header="0.3" footer="0.3"/>
  <x:legacyDrawing xmlns:r="http://schemas.openxmlformats.org/officeDocument/2006/relationships" r:id="R2c381d27f68447d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6" customWidth="1"/>
    <x:col min="3" max="3" width="38" customWidth="1"/>
    <x:col min="4" max="4" width="18" customWidth="1"/>
    <x:col min="5" max="5" width="16" customWidth="1"/>
    <x:col min="6" max="6" width="16" customWidth="1"/>
    <x:col min="7" max="7" width="18" customWidth="1"/>
    <x:col min="8" max="8" width="18" customWidth="1"/>
    <x:col min="9" max="9" width="18" customWidth="1"/>
    <x:col min="10" max="10" width="26" customWidth="1"/>
  </x:cols>
  <x:sheetData>
    <x:row r="1" ht="28" customHeight="1">
      <x:c r="A1" s="1" t="inlineStr">
        <x:is>
          <x:t xml:space="preserve">Scenario: Conservative 12% — Revenue + Registration Payback</x:t>
        </x:is>
      </x:c>
    </x:row>
    <x:row r="3">
      <x:c r="A3" s="10" t="inlineStr">
        <x:is>
          <x:t xml:space="preserve">Inputs</x:t>
        </x:is>
      </x:c>
      <x:c r="B3" s="31" t="n"/>
      <x:c r="C3" s="31" t="n"/>
      <x:c r="D3" s="32" t="n"/>
    </x:row>
    <x:row r="4">
      <x:c r="A4" s="11" t="inlineStr">
        <x:is>
          <x:t xml:space="preserve">Item</x:t>
        </x:is>
      </x:c>
      <x:c r="B4" s="11" t="inlineStr">
        <x:is>
          <x:t xml:space="preserve">Value</x:t>
        </x:is>
      </x:c>
      <x:c r="C4" s="11" t="inlineStr">
        <x:is>
          <x:t xml:space="preserve">Notes</x:t>
        </x:is>
      </x:c>
    </x:row>
    <x:row r="5">
      <x:c r="A5" s="3" t="inlineStr">
        <x:is>
          <x:t xml:space="preserve">Hourly rate (AUD/hr)</x:t>
        </x:is>
      </x:c>
      <x:c r="B5" s="12">
        <x:f>Assumptions!B4</x:f>
        <x:v>55</x:v>
      </x:c>
      <x:c r="C5" s="3" t="inlineStr">
        <x:is>
          <x:t xml:space="preserve">Set by you ($55)</x:t>
        </x:is>
      </x:c>
    </x:row>
    <x:row r="6">
      <x:c r="A6" s="3" t="inlineStr">
        <x:is>
          <x:t xml:space="preserve">Hours per active worker per week</x:t>
        </x:is>
      </x:c>
      <x:c r="B6" s="13">
        <x:f>Assumptions!B5</x:f>
        <x:v>20</x:v>
      </x:c>
      <x:c r="C6" s="3" t="inlineStr">
        <x:is>
          <x:t xml:space="preserve">Set by you (20 hrs/week)</x:t>
        </x:is>
      </x:c>
    </x:row>
    <x:row r="7">
      <x:c r="A7" s="3" t="inlineStr">
        <x:is>
          <x:t xml:space="preserve">Weeks per year</x:t>
        </x:is>
      </x:c>
      <x:c r="B7" s="13">
        <x:f>Assumptions!B6</x:f>
        <x:v>52</x:v>
      </x:c>
      <x:c r="C7" s="3" t="inlineStr">
        <x:is>
          <x:t xml:space="preserve">52</x:t>
        </x:is>
      </x:c>
    </x:row>
    <x:row r="8">
      <x:c r="A8" s="3" t="inlineStr">
        <x:is>
          <x:t xml:space="preserve">Platform take-rate</x:t>
        </x:is>
      </x:c>
      <x:c r="B8" s="14">
        <x:f>Assumptions!B12</x:f>
        <x:v>0.12</x:v>
      </x:c>
      <x:c r="C8" s="3" t="inlineStr">
        <x:is>
          <x:t xml:space="preserve">Scenario-specific</x:t>
        </x:is>
      </x:c>
    </x:row>
    <x:row r="9">
      <x:c r="A9" s="3" t="inlineStr">
        <x:is>
          <x:t xml:space="preserve">Initial active workers for payback</x:t>
        </x:is>
      </x:c>
      <x:c r="B9" s="13">
        <x:f>Assumptions!B10</x:f>
        <x:v>40</x:v>
      </x:c>
      <x:c r="C9" s="3" t="inlineStr">
        <x:is>
          <x:t xml:space="preserve">Midpoint (40)</x:t>
        </x:is>
      </x:c>
    </x:row>
    <x:row r="10">
      <x:c r="A10" s="3" t="inlineStr">
        <x:is>
          <x:t xml:space="preserve">Worker check fee (NSW)</x:t>
        </x:is>
      </x:c>
      <x:c r="B10" s="12">
        <x:f>Assumptions!B7</x:f>
        <x:v>107</x:v>
      </x:c>
      <x:c r="C10" s="3" t="inlineStr">
        <x:is>
          <x:t xml:space="preserve">Paid worker; 5-year validity</x:t>
        </x:is>
      </x:c>
    </x:row>
    <x:row r="11">
      <x:c r="A11" s="3" t="inlineStr">
        <x:is>
          <x:t xml:space="preserve">Verification audit cost (low)</x:t>
        </x:is>
      </x:c>
      <x:c r="B11" s="12">
        <x:f>Assumptions!B8</x:f>
        <x:v>900</x:v>
      </x:c>
      <x:c r="C11" s="3" t="inlineStr">
        <x:is>
          <x:t xml:space="preserve">Estimate; get quotes</x:t>
        </x:is>
      </x:c>
    </x:row>
    <x:row r="12">
      <x:c r="A12" s="3" t="inlineStr">
        <x:is>
          <x:t xml:space="preserve">Verification audit cost (high)</x:t>
        </x:is>
      </x:c>
      <x:c r="B12" s="12">
        <x:f>Assumptions!B9</x:f>
        <x:v>2500</x:v>
      </x:c>
      <x:c r="C12" s="3" t="inlineStr">
        <x:is>
          <x:t xml:space="preserve">Estimate; get quotes</x:t>
        </x:is>
      </x:c>
    </x:row>
    <x:row r="15">
      <x:c r="A15" s="7" t="inlineStr">
        <x:is>
          <x:t xml:space="preserve">5-year projections (support work only; transport revenue excluded)</x:t>
        </x:is>
      </x:c>
      <x:c r="B15" s="31" t="n"/>
      <x:c r="C15" s="31" t="n"/>
      <x:c r="D15" s="31" t="n"/>
      <x:c r="E15" s="31" t="n"/>
      <x:c r="F15" s="31" t="n"/>
      <x:c r="G15" s="31" t="n"/>
      <x:c r="H15" s="31" t="n"/>
      <x:c r="I15" s="31" t="n"/>
      <x:c r="J15" s="32" t="n"/>
    </x:row>
    <x:row r="16" ht="34" customHeight="1">
      <x:c r="A16" s="2" t="inlineStr">
        <x:is>
          <x:t xml:space="preserve">Year</x:t>
        </x:is>
      </x:c>
      <x:c r="B16" s="2" t="inlineStr">
        <x:is>
          <x:t xml:space="preserve">Avg active workers</x:t>
        </x:is>
      </x:c>
      <x:c r="C16" s="2" t="inlineStr">
        <x:is>
          <x:t xml:space="preserve">Hours/week</x:t>
        </x:is>
      </x:c>
      <x:c r="D16" s="2" t="inlineStr">
        <x:is>
          <x:t xml:space="preserve">Rate (AUD/hr)</x:t>
        </x:is>
      </x:c>
      <x:c r="E16" s="2" t="inlineStr">
        <x:is>
          <x:t xml:space="preserve">Take-rate</x:t>
        </x:is>
      </x:c>
      <x:c r="F16" s="33" t="inlineStr">
        <x:is>
          <x:t xml:space="preserve">Annual billable hours</x:t>
        </x:is>
      </x:c>
      <x:c r="G16" s="33" t="inlineStr">
        <x:is>
          <x:t xml:space="preserve">GMV (AUD)</x:t>
        </x:is>
      </x:c>
      <x:c r="H16" s="33" t="inlineStr">
        <x:is>
          <x:t xml:space="preserve">Platform revenue (AUD)</x:t>
        </x:is>
      </x:c>
      <x:c r="I16" s="33" t="inlineStr">
        <x:is>
          <x:t xml:space="preserve">Cumulative revenue</x:t>
        </x:is>
      </x:c>
      <x:c r="J16" s="2" t="inlineStr">
        <x:is>
          <x:t xml:space="preserve">Notes</x:t>
        </x:is>
      </x:c>
    </x:row>
    <x:row r="17">
      <x:c r="A17" s="15" t="n">
        <x:v>1</x:v>
      </x:c>
      <x:c r="B17" s="16">
        <x:f>Assumptions!B19</x:f>
        <x:v>40</x:v>
      </x:c>
      <x:c r="C17" s="17">
        <x:f>$B$6</x:f>
        <x:v>20</x:v>
      </x:c>
      <x:c r="D17" s="34">
        <x:f>$B$5</x:f>
        <x:v>55</x:v>
      </x:c>
      <x:c r="E17" s="19">
        <x:f>$B$8</x:f>
        <x:v>0.12</x:v>
      </x:c>
      <x:c r="F17" s="34">
        <x:f>B17*C17*$B$7</x:f>
        <x:v>41600</x:v>
      </x:c>
      <x:c r="G17" s="34">
        <x:f>F17*D17</x:f>
        <x:v>2288000</x:v>
      </x:c>
      <x:c r="H17" s="34">
        <x:f>G17*E17</x:f>
        <x:v>274560</x:v>
      </x:c>
      <x:c r="I17" s="34">
        <x:f>SUM($H$17:H17)</x:f>
        <x:v>274560</x:v>
      </x:c>
      <x:c r="J17" s="3" t="inlineStr">
        <x:is>
          <x:t xml:space="preserve"/>
        </x:is>
      </x:c>
    </x:row>
    <x:row r="18">
      <x:c r="A18" s="15" t="n">
        <x:v>2</x:v>
      </x:c>
      <x:c r="B18" s="16">
        <x:f>Assumptions!B20</x:f>
        <x:v>130</x:v>
      </x:c>
      <x:c r="C18" s="17">
        <x:f>$B$6</x:f>
        <x:v>20</x:v>
      </x:c>
      <x:c r="D18" s="34">
        <x:f>$B$5</x:f>
        <x:v>55</x:v>
      </x:c>
      <x:c r="E18" s="19">
        <x:f>$B$8</x:f>
        <x:v>0.12</x:v>
      </x:c>
      <x:c r="F18" s="34">
        <x:f>B18*C18*$B$7</x:f>
        <x:v>135200</x:v>
      </x:c>
      <x:c r="G18" s="34">
        <x:f>F18*D18</x:f>
        <x:v>7436000</x:v>
      </x:c>
      <x:c r="H18" s="34">
        <x:f>G18*E18</x:f>
        <x:v>892320</x:v>
      </x:c>
      <x:c r="I18" s="34">
        <x:f>SUM($H$17:H18)</x:f>
        <x:v>1166880</x:v>
      </x:c>
      <x:c r="J18" s="3" t="inlineStr">
        <x:is>
          <x:t xml:space="preserve"/>
        </x:is>
      </x:c>
    </x:row>
    <x:row r="19">
      <x:c r="A19" s="15" t="n">
        <x:v>3</x:v>
      </x:c>
      <x:c r="B19" s="16">
        <x:f>Assumptions!B21</x:f>
        <x:v>325</x:v>
      </x:c>
      <x:c r="C19" s="17">
        <x:f>$B$6</x:f>
        <x:v>20</x:v>
      </x:c>
      <x:c r="D19" s="34">
        <x:f>$B$5</x:f>
        <x:v>55</x:v>
      </x:c>
      <x:c r="E19" s="19">
        <x:f>$B$8</x:f>
        <x:v>0.12</x:v>
      </x:c>
      <x:c r="F19" s="34">
        <x:f>B19*C19*$B$7</x:f>
        <x:v>338000</x:v>
      </x:c>
      <x:c r="G19" s="34">
        <x:f>F19*D19</x:f>
        <x:v>18590000</x:v>
      </x:c>
      <x:c r="H19" s="34">
        <x:f>G19*E19</x:f>
        <x:v>2230800</x:v>
      </x:c>
      <x:c r="I19" s="34">
        <x:f>SUM($H$17:H19)</x:f>
        <x:v>3397680</x:v>
      </x:c>
      <x:c r="J19" s="3" t="inlineStr">
        <x:is>
          <x:t xml:space="preserve"/>
        </x:is>
      </x:c>
    </x:row>
    <x:row r="20">
      <x:c r="A20" s="15" t="n">
        <x:v>4</x:v>
      </x:c>
      <x:c r="B20" s="16">
        <x:f>Assumptions!B22</x:f>
        <x:v>625</x:v>
      </x:c>
      <x:c r="C20" s="17">
        <x:f>$B$6</x:f>
        <x:v>20</x:v>
      </x:c>
      <x:c r="D20" s="34">
        <x:f>$B$5</x:f>
        <x:v>55</x:v>
      </x:c>
      <x:c r="E20" s="19">
        <x:f>$B$8</x:f>
        <x:v>0.12</x:v>
      </x:c>
      <x:c r="F20" s="34">
        <x:f>B20*C20*$B$7</x:f>
        <x:v>650000</x:v>
      </x:c>
      <x:c r="G20" s="34">
        <x:f>F20*D20</x:f>
        <x:v>35750000</x:v>
      </x:c>
      <x:c r="H20" s="34">
        <x:f>G20*E20</x:f>
        <x:v>4290000</x:v>
      </x:c>
      <x:c r="I20" s="34">
        <x:f>SUM($H$17:H20)</x:f>
        <x:v>7687680</x:v>
      </x:c>
      <x:c r="J20" s="3" t="inlineStr">
        <x:is>
          <x:t xml:space="preserve"/>
        </x:is>
      </x:c>
    </x:row>
    <x:row r="21">
      <x:c r="A21" s="15" t="n">
        <x:v>5</x:v>
      </x:c>
      <x:c r="B21" s="16">
        <x:f>Assumptions!B23</x:f>
        <x:v>900</x:v>
      </x:c>
      <x:c r="C21" s="17">
        <x:f>$B$6</x:f>
        <x:v>20</x:v>
      </x:c>
      <x:c r="D21" s="34">
        <x:f>$B$5</x:f>
        <x:v>55</x:v>
      </x:c>
      <x:c r="E21" s="19">
        <x:f>$B$8</x:f>
        <x:v>0.12</x:v>
      </x:c>
      <x:c r="F21" s="34">
        <x:f>B21*C21*$B$7</x:f>
        <x:v>936000</x:v>
      </x:c>
      <x:c r="G21" s="34">
        <x:f>F21*D21</x:f>
        <x:v>51480000</x:v>
      </x:c>
      <x:c r="H21" s="34">
        <x:f>G21*E21</x:f>
        <x:v>6177600</x:v>
      </x:c>
      <x:c r="I21" s="34">
        <x:f>SUM($H$17:H21)</x:f>
        <x:v>13865280</x:v>
      </x:c>
      <x:c r="J21" s="3" t="inlineStr">
        <x:is>
          <x:t xml:space="preserve"/>
        </x:is>
      </x:c>
    </x:row>
    <x:row r="22">
      <x:c r="A22" s="20" t="inlineStr">
        <x:is>
          <x:t xml:space="preserve">Total</x:t>
        </x:is>
      </x:c>
      <x:c r="B22" s="21" t="n"/>
      <x:c r="C22" s="21" t="n"/>
      <x:c r="D22" s="21" t="n"/>
      <x:c r="E22" s="21" t="n"/>
      <x:c r="F22" s="35">
        <x:f>SUM(F17:F21)</x:f>
        <x:v>2100800</x:v>
      </x:c>
      <x:c r="G22" s="35">
        <x:f>SUM(G17:G21)</x:f>
        <x:v>115544000</x:v>
      </x:c>
      <x:c r="H22" s="35">
        <x:f>SUM(H17:H21)</x:f>
        <x:v>13865280</x:v>
      </x:c>
      <x:c r="I22" s="35">
        <x:f>H22</x:f>
        <x:v>13865280</x:v>
      </x:c>
      <x:c r="J22" s="23" t="inlineStr">
        <x:is>
          <x:t xml:space="preserve">5-year totals</x:t>
        </x:is>
      </x:c>
    </x:row>
    <x:row r="25">
      <x:c r="A25" s="7" t="inlineStr">
        <x:is>
          <x:t xml:space="preserve">Registration &amp; screening payback (direct cash costs only)</x:t>
        </x:is>
      </x:c>
      <x:c r="B25" s="31" t="n"/>
      <x:c r="C25" s="31" t="n"/>
      <x:c r="D25" s="31" t="n"/>
      <x:c r="E25" s="31" t="n"/>
      <x:c r="F25" s="31" t="n"/>
      <x:c r="G25" s="31" t="n"/>
      <x:c r="H25" s="31" t="n"/>
      <x:c r="I25" s="31" t="n"/>
      <x:c r="J25" s="32" t="n"/>
    </x:row>
    <x:row r="26">
      <x:c r="A26" s="11" t="inlineStr">
        <x:is>
          <x:t xml:space="preserve">Item</x:t>
        </x:is>
      </x:c>
      <x:c r="B26" s="11" t="inlineStr">
        <x:is>
          <x:t xml:space="preserve">Value</x:t>
        </x:is>
      </x:c>
      <x:c r="C26" s="11" t="inlineStr">
        <x:is>
          <x:t xml:space="preserve">Notes</x:t>
        </x:is>
      </x:c>
    </x:row>
    <x:row r="27">
      <x:c r="A27" s="3" t="inlineStr">
        <x:is>
          <x:t xml:space="preserve">Initial worker checks cost</x:t>
        </x:is>
      </x:c>
      <x:c r="B27" s="34">
        <x:f>B9*B10</x:f>
        <x:v>4280</x:v>
      </x:c>
      <x:c r="C27" s="3" t="inlineStr">
        <x:is>
          <x:t xml:space="preserve">Workers × $107</x:t>
        </x:is>
      </x:c>
    </x:row>
    <x:row r="28">
      <x:c r="A28" s="3" t="inlineStr">
        <x:is>
          <x:t xml:space="preserve">Audit cost (low)</x:t>
        </x:is>
      </x:c>
      <x:c r="B28" s="34">
        <x:f>B11</x:f>
        <x:v>900</x:v>
      </x:c>
      <x:c r="C28" s="3" t="inlineStr">
        <x:is>
          <x:t xml:space="preserve">Verification audit estimate</x:t>
        </x:is>
      </x:c>
    </x:row>
    <x:row r="29">
      <x:c r="A29" s="3" t="inlineStr">
        <x:is>
          <x:t xml:space="preserve">Audit cost (high)</x:t>
        </x:is>
      </x:c>
      <x:c r="B29" s="34">
        <x:f>B12</x:f>
        <x:v>2500</x:v>
      </x:c>
      <x:c r="C29" s="3" t="inlineStr">
        <x:is>
          <x:t xml:space="preserve">Verification audit estimate</x:t>
        </x:is>
      </x:c>
    </x:row>
    <x:row r="30">
      <x:c r="A30" s="3" t="inlineStr">
        <x:is>
          <x:t xml:space="preserve">Total direct reg cost (low)</x:t>
        </x:is>
      </x:c>
      <x:c r="B30" s="24">
        <x:f>B27+B28</x:f>
        <x:v>5180</x:v>
      </x:c>
      <x:c r="C30" s="3" t="inlineStr">
        <x:is>
          <x:t xml:space="preserve">Worker checks + audit (low)</x:t>
        </x:is>
      </x:c>
    </x:row>
    <x:row r="31">
      <x:c r="A31" s="3" t="inlineStr">
        <x:is>
          <x:t xml:space="preserve">Total direct reg cost (high)</x:t>
        </x:is>
      </x:c>
      <x:c r="B31" s="24">
        <x:f>B27+B29</x:f>
        <x:v>6780</x:v>
      </x:c>
      <x:c r="C31" s="3" t="inlineStr">
        <x:is>
          <x:t xml:space="preserve">Worker checks + audit (high)</x:t>
        </x:is>
      </x:c>
    </x:row>
    <x:row r="32">
      <x:c r="A32" s="3" t="inlineStr">
        <x:is>
          <x:t xml:space="preserve">Weekly platform revenue (establishing)</x:t>
        </x:is>
      </x:c>
      <x:c r="B32" s="34">
        <x:f>B9*B6*B5*B8</x:f>
        <x:v>5280</x:v>
      </x:c>
      <x:c r="C32" s="3" t="inlineStr">
        <x:is>
          <x:t xml:space="preserve">Workers × hrs/wk × rate × take-rate</x:t>
        </x:is>
      </x:c>
    </x:row>
    <x:row r="33">
      <x:c r="A33" s="3" t="inlineStr">
        <x:is>
          <x:t xml:space="preserve">Payback weeks (low)</x:t>
        </x:is>
      </x:c>
      <x:c r="B33" s="25">
        <x:f>B30/B32</x:f>
        <x:v>0.9810606060606061</x:v>
      </x:c>
      <x:c r="C33" s="3" t="inlineStr">
        <x:is>
          <x:t xml:space="preserve">Cost ÷ weekly revenue</x:t>
        </x:is>
      </x:c>
    </x:row>
    <x:row r="34">
      <x:c r="A34" s="3" t="inlineStr">
        <x:is>
          <x:t xml:space="preserve">Payback weeks (high)</x:t>
        </x:is>
      </x:c>
      <x:c r="B34" s="25">
        <x:f>B31/B32</x:f>
        <x:v>1.2840909090909092</x:v>
      </x:c>
      <x:c r="C34" s="3" t="inlineStr">
        <x:is>
          <x:t xml:space="preserve">Cost ÷ weekly revenue</x:t>
        </x:is>
      </x:c>
    </x:row>
    <x:row r="35">
      <x:c r="A35" s="3" t="inlineStr">
        <x:is>
          <x:t xml:space="preserve">5-year revenue multiple on reg cost (low)</x:t>
        </x:is>
      </x:c>
      <x:c r="B35" s="26">
        <x:f>H22/B30</x:f>
        <x:v>2676.6949806949806</x:v>
      </x:c>
      <x:c r="C35" s="3" t="inlineStr">
        <x:is>
          <x:t xml:space="preserve">5-year platform revenue ÷ reg cost</x:t>
        </x:is>
      </x:c>
    </x:row>
    <x:row r="36">
      <x:c r="A36" s="3" t="inlineStr">
        <x:is>
          <x:t xml:space="preserve">5-year revenue multiple on reg cost (high)</x:t>
        </x:is>
      </x:c>
      <x:c r="B36" s="26">
        <x:f>H22/B31</x:f>
        <x:v>2045.0265486725664</x:v>
      </x:c>
      <x:c r="C36" s="3" t="inlineStr">
        <x:is>
          <x:t xml:space="preserve">5-year platform revenue ÷ reg cost</x:t>
        </x:is>
      </x:c>
    </x:row>
    <x:row r="39">
      <x:c r="A39" s="27" t="inlineStr">
        <x:is>
          <x:t xml:space="preserve">Payback sensitivity (weeks) — by active workers in establishment phase</x:t>
        </x:is>
      </x:c>
      <x:c r="B39" s="31" t="n"/>
      <x:c r="C39" s="31" t="n"/>
      <x:c r="D39" s="31" t="n"/>
      <x:c r="E39" s="31" t="n"/>
      <x:c r="F39" s="32" t="n"/>
    </x:row>
    <x:row r="40">
      <x:c r="A40" s="11" t="inlineStr">
        <x:is>
          <x:t xml:space="preserve">Active workers</x:t>
        </x:is>
      </x:c>
      <x:c r="B40" s="11" t="inlineStr">
        <x:is>
          <x:t xml:space="preserve">Weekly revenue</x:t>
        </x:is>
      </x:c>
      <x:c r="C40" s="11" t="inlineStr">
        <x:is>
          <x:t xml:space="preserve">Reg cost (low)</x:t>
        </x:is>
      </x:c>
      <x:c r="D40" s="11" t="inlineStr">
        <x:is>
          <x:t xml:space="preserve">Reg cost (high)</x:t>
        </x:is>
      </x:c>
      <x:c r="E40" s="11" t="inlineStr">
        <x:is>
          <x:t xml:space="preserve">Payback low (wks)</x:t>
        </x:is>
      </x:c>
      <x:c r="F40" s="11" t="inlineStr">
        <x:is>
          <x:t xml:space="preserve">Payback high (wks)</x:t>
        </x:is>
      </x:c>
    </x:row>
    <x:row r="41">
      <x:c r="A41" s="28" t="n">
        <x:v>25</x:v>
      </x:c>
      <x:c r="B41" s="34">
        <x:f>A41*$B$6*$B$5*$B$8</x:f>
        <x:v>3300</x:v>
      </x:c>
      <x:c r="C41" s="34">
        <x:f>A41*$B$10 + $B$11</x:f>
        <x:v>3575</x:v>
      </x:c>
      <x:c r="D41" s="34">
        <x:f>A41*$B$10 + $B$12</x:f>
        <x:v>5175</x:v>
      </x:c>
      <x:c r="E41" s="29">
        <x:f>C41/B41</x:f>
        <x:v>1.0833333333333333</x:v>
      </x:c>
      <x:c r="F41" s="29">
        <x:f>D41/B41</x:f>
        <x:v>1.5681818181818181</x:v>
      </x:c>
    </x:row>
    <x:row r="42">
      <x:c r="A42" s="28" t="n">
        <x:v>40</x:v>
      </x:c>
      <x:c r="B42" s="34">
        <x:f>A42*$B$6*$B$5*$B$8</x:f>
        <x:v>5280</x:v>
      </x:c>
      <x:c r="C42" s="34">
        <x:f>A42*$B$10 + $B$11</x:f>
        <x:v>5180</x:v>
      </x:c>
      <x:c r="D42" s="34">
        <x:f>A42*$B$10 + $B$12</x:f>
        <x:v>6780</x:v>
      </x:c>
      <x:c r="E42" s="29">
        <x:f>C42/B42</x:f>
        <x:v>0.9810606060606061</x:v>
      </x:c>
      <x:c r="F42" s="29">
        <x:f>D42/B42</x:f>
        <x:v>1.2840909090909092</x:v>
      </x:c>
    </x:row>
    <x:row r="43">
      <x:c r="A43" s="28" t="n">
        <x:v>50</x:v>
      </x:c>
      <x:c r="B43" s="34">
        <x:f>A43*$B$6*$B$5*$B$8</x:f>
        <x:v>6600</x:v>
      </x:c>
      <x:c r="C43" s="34">
        <x:f>A43*$B$10 + $B$11</x:f>
        <x:v>6250</x:v>
      </x:c>
      <x:c r="D43" s="34">
        <x:f>A43*$B$10 + $B$12</x:f>
        <x:v>7850</x:v>
      </x:c>
      <x:c r="E43" s="29">
        <x:f>C43/B43</x:f>
        <x:v>0.946969696969697</x:v>
      </x:c>
      <x:c r="F43" s="29">
        <x:f>D43/B43</x:f>
        <x:v>1.1893939393939394</x:v>
      </x:c>
    </x:row>
    <x:row r="45" ht="48" customHeight="1">
      <x:c r="A45" s="30" t="inlineStr">
        <x:is>
          <x:t xml:space="preserve">Notes: This model estimates platform revenue from support-work bookings only (transport revenue excluded). Direct registration costs include NSW worker checks + an assumed verification audit range; actual audit costs vary by auditor and scope. See Assumptions sheet for source URLs and editable inputs.</x:t>
        </x:is>
      </x:c>
      <x:c r="B45" s="36" t="n"/>
      <x:c r="C45" s="36" t="n"/>
      <x:c r="D45" s="36" t="n"/>
      <x:c r="E45" s="36" t="n"/>
      <x:c r="F45" s="36" t="n"/>
      <x:c r="G45" s="36" t="n"/>
      <x:c r="H45" s="36" t="n"/>
      <x:c r="I45" s="36" t="n"/>
      <x:c r="J45" s="37" t="n"/>
    </x:row>
    <x:row r="46">
      <x:c r="A46" s="38" t="n"/>
      <x:c r="J46" s="39" t="n"/>
    </x:row>
    <x:row r="47">
      <x:c r="A47" s="40" t="n"/>
      <x:c r="B47" s="41" t="n"/>
      <x:c r="C47" s="41" t="n"/>
      <x:c r="D47" s="41" t="n"/>
      <x:c r="E47" s="41" t="n"/>
      <x:c r="F47" s="41" t="n"/>
      <x:c r="G47" s="41" t="n"/>
      <x:c r="H47" s="41" t="n"/>
      <x:c r="I47" s="41" t="n"/>
      <x:c r="J47" s="42" t="n"/>
    </x:row>
  </x:sheetData>
  <x:mergeCells>
    <x:mergeCell ref="A1:J1"/>
    <x:mergeCell ref="A45:J47"/>
    <x:mergeCell ref="A3:D3"/>
    <x:mergeCell ref="A15:J15"/>
    <x:mergeCell ref="A39:F39"/>
    <x:mergeCell ref="A25:J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6" customWidth="1"/>
    <x:col min="3" max="3" width="38" customWidth="1"/>
    <x:col min="4" max="4" width="18" customWidth="1"/>
    <x:col min="5" max="5" width="16" customWidth="1"/>
    <x:col min="6" max="6" width="16" customWidth="1"/>
    <x:col min="7" max="7" width="18" customWidth="1"/>
    <x:col min="8" max="8" width="18" customWidth="1"/>
    <x:col min="9" max="9" width="18" customWidth="1"/>
    <x:col min="10" max="10" width="26" customWidth="1"/>
  </x:cols>
  <x:sheetData>
    <x:row r="1" ht="28" customHeight="1">
      <x:c r="A1" s="1" t="inlineStr">
        <x:is>
          <x:t xml:space="preserve">Scenario: Base 15% — Revenue + Registration Payback</x:t>
        </x:is>
      </x:c>
    </x:row>
    <x:row r="3">
      <x:c r="A3" s="10" t="inlineStr">
        <x:is>
          <x:t xml:space="preserve">Inputs</x:t>
        </x:is>
      </x:c>
      <x:c r="B3" s="31" t="n"/>
      <x:c r="C3" s="31" t="n"/>
      <x:c r="D3" s="32" t="n"/>
    </x:row>
    <x:row r="4">
      <x:c r="A4" s="11" t="inlineStr">
        <x:is>
          <x:t xml:space="preserve">Item</x:t>
        </x:is>
      </x:c>
      <x:c r="B4" s="11" t="inlineStr">
        <x:is>
          <x:t xml:space="preserve">Value</x:t>
        </x:is>
      </x:c>
      <x:c r="C4" s="11" t="inlineStr">
        <x:is>
          <x:t xml:space="preserve">Notes</x:t>
        </x:is>
      </x:c>
    </x:row>
    <x:row r="5">
      <x:c r="A5" s="3" t="inlineStr">
        <x:is>
          <x:t xml:space="preserve">Hourly rate (AUD/hr)</x:t>
        </x:is>
      </x:c>
      <x:c r="B5" s="12">
        <x:f>Assumptions!B4</x:f>
        <x:v>55</x:v>
      </x:c>
      <x:c r="C5" s="3" t="inlineStr">
        <x:is>
          <x:t xml:space="preserve">Set by you ($55)</x:t>
        </x:is>
      </x:c>
    </x:row>
    <x:row r="6">
      <x:c r="A6" s="3" t="inlineStr">
        <x:is>
          <x:t xml:space="preserve">Hours per active worker per week</x:t>
        </x:is>
      </x:c>
      <x:c r="B6" s="13">
        <x:f>Assumptions!B5</x:f>
        <x:v>20</x:v>
      </x:c>
      <x:c r="C6" s="3" t="inlineStr">
        <x:is>
          <x:t xml:space="preserve">Set by you (20 hrs/week)</x:t>
        </x:is>
      </x:c>
    </x:row>
    <x:row r="7">
      <x:c r="A7" s="3" t="inlineStr">
        <x:is>
          <x:t xml:space="preserve">Weeks per year</x:t>
        </x:is>
      </x:c>
      <x:c r="B7" s="13">
        <x:f>Assumptions!B6</x:f>
        <x:v>52</x:v>
      </x:c>
      <x:c r="C7" s="3" t="inlineStr">
        <x:is>
          <x:t xml:space="preserve">52</x:t>
        </x:is>
      </x:c>
    </x:row>
    <x:row r="8">
      <x:c r="A8" s="3" t="inlineStr">
        <x:is>
          <x:t xml:space="preserve">Platform take-rate</x:t>
        </x:is>
      </x:c>
      <x:c r="B8" s="14">
        <x:f>Assumptions!B13</x:f>
        <x:v>0.15</x:v>
      </x:c>
      <x:c r="C8" s="3" t="inlineStr">
        <x:is>
          <x:t xml:space="preserve">Scenario-specific</x:t>
        </x:is>
      </x:c>
    </x:row>
    <x:row r="9">
      <x:c r="A9" s="3" t="inlineStr">
        <x:is>
          <x:t xml:space="preserve">Initial active workers for payback</x:t>
        </x:is>
      </x:c>
      <x:c r="B9" s="13">
        <x:f>Assumptions!B10</x:f>
        <x:v>40</x:v>
      </x:c>
      <x:c r="C9" s="3" t="inlineStr">
        <x:is>
          <x:t xml:space="preserve">Midpoint (40)</x:t>
        </x:is>
      </x:c>
    </x:row>
    <x:row r="10">
      <x:c r="A10" s="3" t="inlineStr">
        <x:is>
          <x:t xml:space="preserve">Worker check fee (NSW)</x:t>
        </x:is>
      </x:c>
      <x:c r="B10" s="12">
        <x:f>Assumptions!B7</x:f>
        <x:v>107</x:v>
      </x:c>
      <x:c r="C10" s="3" t="inlineStr">
        <x:is>
          <x:t xml:space="preserve">Paid worker; 5-year validity</x:t>
        </x:is>
      </x:c>
    </x:row>
    <x:row r="11">
      <x:c r="A11" s="3" t="inlineStr">
        <x:is>
          <x:t xml:space="preserve">Verification audit cost (low)</x:t>
        </x:is>
      </x:c>
      <x:c r="B11" s="12">
        <x:f>Assumptions!B8</x:f>
        <x:v>900</x:v>
      </x:c>
      <x:c r="C11" s="3" t="inlineStr">
        <x:is>
          <x:t xml:space="preserve">Estimate; get quotes</x:t>
        </x:is>
      </x:c>
    </x:row>
    <x:row r="12">
      <x:c r="A12" s="3" t="inlineStr">
        <x:is>
          <x:t xml:space="preserve">Verification audit cost (high)</x:t>
        </x:is>
      </x:c>
      <x:c r="B12" s="12">
        <x:f>Assumptions!B9</x:f>
        <x:v>2500</x:v>
      </x:c>
      <x:c r="C12" s="3" t="inlineStr">
        <x:is>
          <x:t xml:space="preserve">Estimate; get quotes</x:t>
        </x:is>
      </x:c>
    </x:row>
    <x:row r="15">
      <x:c r="A15" s="7" t="inlineStr">
        <x:is>
          <x:t xml:space="preserve">5-year projections (support work only; transport revenue excluded)</x:t>
        </x:is>
      </x:c>
      <x:c r="B15" s="31" t="n"/>
      <x:c r="C15" s="31" t="n"/>
      <x:c r="D15" s="31" t="n"/>
      <x:c r="E15" s="31" t="n"/>
      <x:c r="F15" s="31" t="n"/>
      <x:c r="G15" s="31" t="n"/>
      <x:c r="H15" s="31" t="n"/>
      <x:c r="I15" s="31" t="n"/>
      <x:c r="J15" s="32" t="n"/>
    </x:row>
    <x:row r="16" ht="34" customHeight="1">
      <x:c r="A16" s="2" t="inlineStr">
        <x:is>
          <x:t xml:space="preserve">Year</x:t>
        </x:is>
      </x:c>
      <x:c r="B16" s="2" t="inlineStr">
        <x:is>
          <x:t xml:space="preserve">Avg active workers</x:t>
        </x:is>
      </x:c>
      <x:c r="C16" s="2" t="inlineStr">
        <x:is>
          <x:t xml:space="preserve">Hours/week</x:t>
        </x:is>
      </x:c>
      <x:c r="D16" s="2" t="inlineStr">
        <x:is>
          <x:t xml:space="preserve">Rate (AUD/hr)</x:t>
        </x:is>
      </x:c>
      <x:c r="E16" s="2" t="inlineStr">
        <x:is>
          <x:t xml:space="preserve">Take-rate</x:t>
        </x:is>
      </x:c>
      <x:c r="F16" s="33" t="inlineStr">
        <x:is>
          <x:t xml:space="preserve">Annual billable hours</x:t>
        </x:is>
      </x:c>
      <x:c r="G16" s="33" t="inlineStr">
        <x:is>
          <x:t xml:space="preserve">GMV (AUD)</x:t>
        </x:is>
      </x:c>
      <x:c r="H16" s="33" t="inlineStr">
        <x:is>
          <x:t xml:space="preserve">Platform revenue (AUD)</x:t>
        </x:is>
      </x:c>
      <x:c r="I16" s="33" t="inlineStr">
        <x:is>
          <x:t xml:space="preserve">Cumulative revenue</x:t>
        </x:is>
      </x:c>
      <x:c r="J16" s="2" t="inlineStr">
        <x:is>
          <x:t xml:space="preserve">Notes</x:t>
        </x:is>
      </x:c>
    </x:row>
    <x:row r="17">
      <x:c r="A17" s="15" t="n">
        <x:v>1</x:v>
      </x:c>
      <x:c r="B17" s="16">
        <x:f>Assumptions!B19</x:f>
        <x:v>40</x:v>
      </x:c>
      <x:c r="C17" s="17">
        <x:f>$B$6</x:f>
        <x:v>20</x:v>
      </x:c>
      <x:c r="D17" s="34">
        <x:f>$B$5</x:f>
        <x:v>55</x:v>
      </x:c>
      <x:c r="E17" s="19">
        <x:f>$B$8</x:f>
        <x:v>0.15</x:v>
      </x:c>
      <x:c r="F17" s="34">
        <x:f>B17*C17*$B$7</x:f>
        <x:v>41600</x:v>
      </x:c>
      <x:c r="G17" s="34">
        <x:f>F17*D17</x:f>
        <x:v>2288000</x:v>
      </x:c>
      <x:c r="H17" s="34">
        <x:f>G17*E17</x:f>
        <x:v>343200</x:v>
      </x:c>
      <x:c r="I17" s="34">
        <x:f>SUM($H$17:H17)</x:f>
        <x:v>343200</x:v>
      </x:c>
      <x:c r="J17" s="3" t="inlineStr">
        <x:is>
          <x:t xml:space="preserve"/>
        </x:is>
      </x:c>
    </x:row>
    <x:row r="18">
      <x:c r="A18" s="15" t="n">
        <x:v>2</x:v>
      </x:c>
      <x:c r="B18" s="16">
        <x:f>Assumptions!B20</x:f>
        <x:v>130</x:v>
      </x:c>
      <x:c r="C18" s="17">
        <x:f>$B$6</x:f>
        <x:v>20</x:v>
      </x:c>
      <x:c r="D18" s="34">
        <x:f>$B$5</x:f>
        <x:v>55</x:v>
      </x:c>
      <x:c r="E18" s="19">
        <x:f>$B$8</x:f>
        <x:v>0.15</x:v>
      </x:c>
      <x:c r="F18" s="34">
        <x:f>B18*C18*$B$7</x:f>
        <x:v>135200</x:v>
      </x:c>
      <x:c r="G18" s="34">
        <x:f>F18*D18</x:f>
        <x:v>7436000</x:v>
      </x:c>
      <x:c r="H18" s="34">
        <x:f>G18*E18</x:f>
        <x:v>1115400</x:v>
      </x:c>
      <x:c r="I18" s="34">
        <x:f>SUM($H$17:H18)</x:f>
        <x:v>1458600</x:v>
      </x:c>
      <x:c r="J18" s="3" t="inlineStr">
        <x:is>
          <x:t xml:space="preserve"/>
        </x:is>
      </x:c>
    </x:row>
    <x:row r="19">
      <x:c r="A19" s="15" t="n">
        <x:v>3</x:v>
      </x:c>
      <x:c r="B19" s="16">
        <x:f>Assumptions!B21</x:f>
        <x:v>325</x:v>
      </x:c>
      <x:c r="C19" s="17">
        <x:f>$B$6</x:f>
        <x:v>20</x:v>
      </x:c>
      <x:c r="D19" s="34">
        <x:f>$B$5</x:f>
        <x:v>55</x:v>
      </x:c>
      <x:c r="E19" s="19">
        <x:f>$B$8</x:f>
        <x:v>0.15</x:v>
      </x:c>
      <x:c r="F19" s="34">
        <x:f>B19*C19*$B$7</x:f>
        <x:v>338000</x:v>
      </x:c>
      <x:c r="G19" s="34">
        <x:f>F19*D19</x:f>
        <x:v>18590000</x:v>
      </x:c>
      <x:c r="H19" s="34">
        <x:f>G19*E19</x:f>
        <x:v>2788500</x:v>
      </x:c>
      <x:c r="I19" s="34">
        <x:f>SUM($H$17:H19)</x:f>
        <x:v>4247100</x:v>
      </x:c>
      <x:c r="J19" s="3" t="inlineStr">
        <x:is>
          <x:t xml:space="preserve"/>
        </x:is>
      </x:c>
    </x:row>
    <x:row r="20">
      <x:c r="A20" s="15" t="n">
        <x:v>4</x:v>
      </x:c>
      <x:c r="B20" s="16">
        <x:f>Assumptions!B22</x:f>
        <x:v>625</x:v>
      </x:c>
      <x:c r="C20" s="17">
        <x:f>$B$6</x:f>
        <x:v>20</x:v>
      </x:c>
      <x:c r="D20" s="34">
        <x:f>$B$5</x:f>
        <x:v>55</x:v>
      </x:c>
      <x:c r="E20" s="19">
        <x:f>$B$8</x:f>
        <x:v>0.15</x:v>
      </x:c>
      <x:c r="F20" s="34">
        <x:f>B20*C20*$B$7</x:f>
        <x:v>650000</x:v>
      </x:c>
      <x:c r="G20" s="34">
        <x:f>F20*D20</x:f>
        <x:v>35750000</x:v>
      </x:c>
      <x:c r="H20" s="34">
        <x:f>G20*E20</x:f>
        <x:v>5362500</x:v>
      </x:c>
      <x:c r="I20" s="34">
        <x:f>SUM($H$17:H20)</x:f>
        <x:v>9609600</x:v>
      </x:c>
      <x:c r="J20" s="3" t="inlineStr">
        <x:is>
          <x:t xml:space="preserve"/>
        </x:is>
      </x:c>
    </x:row>
    <x:row r="21">
      <x:c r="A21" s="15" t="n">
        <x:v>5</x:v>
      </x:c>
      <x:c r="B21" s="16">
        <x:f>Assumptions!B23</x:f>
        <x:v>900</x:v>
      </x:c>
      <x:c r="C21" s="17">
        <x:f>$B$6</x:f>
        <x:v>20</x:v>
      </x:c>
      <x:c r="D21" s="34">
        <x:f>$B$5</x:f>
        <x:v>55</x:v>
      </x:c>
      <x:c r="E21" s="19">
        <x:f>$B$8</x:f>
        <x:v>0.15</x:v>
      </x:c>
      <x:c r="F21" s="34">
        <x:f>B21*C21*$B$7</x:f>
        <x:v>936000</x:v>
      </x:c>
      <x:c r="G21" s="34">
        <x:f>F21*D21</x:f>
        <x:v>51480000</x:v>
      </x:c>
      <x:c r="H21" s="34">
        <x:f>G21*E21</x:f>
        <x:v>7722000</x:v>
      </x:c>
      <x:c r="I21" s="34">
        <x:f>SUM($H$17:H21)</x:f>
        <x:v>17331600</x:v>
      </x:c>
      <x:c r="J21" s="3" t="inlineStr">
        <x:is>
          <x:t xml:space="preserve"/>
        </x:is>
      </x:c>
    </x:row>
    <x:row r="22">
      <x:c r="A22" s="20" t="inlineStr">
        <x:is>
          <x:t xml:space="preserve">Total</x:t>
        </x:is>
      </x:c>
      <x:c r="B22" s="21" t="n"/>
      <x:c r="C22" s="21" t="n"/>
      <x:c r="D22" s="21" t="n"/>
      <x:c r="E22" s="21" t="n"/>
      <x:c r="F22" s="35">
        <x:f>SUM(F17:F21)</x:f>
        <x:v>2100800</x:v>
      </x:c>
      <x:c r="G22" s="35">
        <x:f>SUM(G17:G21)</x:f>
        <x:v>115544000</x:v>
      </x:c>
      <x:c r="H22" s="35">
        <x:f>SUM(H17:H21)</x:f>
        <x:v>17331600</x:v>
      </x:c>
      <x:c r="I22" s="35">
        <x:f>H22</x:f>
        <x:v>17331600</x:v>
      </x:c>
      <x:c r="J22" s="23" t="inlineStr">
        <x:is>
          <x:t xml:space="preserve">5-year totals</x:t>
        </x:is>
      </x:c>
    </x:row>
    <x:row r="25">
      <x:c r="A25" s="7" t="inlineStr">
        <x:is>
          <x:t xml:space="preserve">Registration &amp; screening payback (direct cash costs only)</x:t>
        </x:is>
      </x:c>
      <x:c r="B25" s="31" t="n"/>
      <x:c r="C25" s="31" t="n"/>
      <x:c r="D25" s="31" t="n"/>
      <x:c r="E25" s="31" t="n"/>
      <x:c r="F25" s="31" t="n"/>
      <x:c r="G25" s="31" t="n"/>
      <x:c r="H25" s="31" t="n"/>
      <x:c r="I25" s="31" t="n"/>
      <x:c r="J25" s="32" t="n"/>
    </x:row>
    <x:row r="26">
      <x:c r="A26" s="11" t="inlineStr">
        <x:is>
          <x:t xml:space="preserve">Item</x:t>
        </x:is>
      </x:c>
      <x:c r="B26" s="11" t="inlineStr">
        <x:is>
          <x:t xml:space="preserve">Value</x:t>
        </x:is>
      </x:c>
      <x:c r="C26" s="11" t="inlineStr">
        <x:is>
          <x:t xml:space="preserve">Notes</x:t>
        </x:is>
      </x:c>
    </x:row>
    <x:row r="27">
      <x:c r="A27" s="3" t="inlineStr">
        <x:is>
          <x:t xml:space="preserve">Initial worker checks cost</x:t>
        </x:is>
      </x:c>
      <x:c r="B27" s="34">
        <x:f>B9*B10</x:f>
        <x:v>4280</x:v>
      </x:c>
      <x:c r="C27" s="3" t="inlineStr">
        <x:is>
          <x:t xml:space="preserve">Workers × $107</x:t>
        </x:is>
      </x:c>
    </x:row>
    <x:row r="28">
      <x:c r="A28" s="3" t="inlineStr">
        <x:is>
          <x:t xml:space="preserve">Audit cost (low)</x:t>
        </x:is>
      </x:c>
      <x:c r="B28" s="34">
        <x:f>B11</x:f>
        <x:v>900</x:v>
      </x:c>
      <x:c r="C28" s="3" t="inlineStr">
        <x:is>
          <x:t xml:space="preserve">Verification audit estimate</x:t>
        </x:is>
      </x:c>
    </x:row>
    <x:row r="29">
      <x:c r="A29" s="3" t="inlineStr">
        <x:is>
          <x:t xml:space="preserve">Audit cost (high)</x:t>
        </x:is>
      </x:c>
      <x:c r="B29" s="34">
        <x:f>B12</x:f>
        <x:v>2500</x:v>
      </x:c>
      <x:c r="C29" s="3" t="inlineStr">
        <x:is>
          <x:t xml:space="preserve">Verification audit estimate</x:t>
        </x:is>
      </x:c>
    </x:row>
    <x:row r="30">
      <x:c r="A30" s="3" t="inlineStr">
        <x:is>
          <x:t xml:space="preserve">Total direct reg cost (low)</x:t>
        </x:is>
      </x:c>
      <x:c r="B30" s="24">
        <x:f>B27+B28</x:f>
        <x:v>5180</x:v>
      </x:c>
      <x:c r="C30" s="3" t="inlineStr">
        <x:is>
          <x:t xml:space="preserve">Worker checks + audit (low)</x:t>
        </x:is>
      </x:c>
    </x:row>
    <x:row r="31">
      <x:c r="A31" s="3" t="inlineStr">
        <x:is>
          <x:t xml:space="preserve">Total direct reg cost (high)</x:t>
        </x:is>
      </x:c>
      <x:c r="B31" s="24">
        <x:f>B27+B29</x:f>
        <x:v>6780</x:v>
      </x:c>
      <x:c r="C31" s="3" t="inlineStr">
        <x:is>
          <x:t xml:space="preserve">Worker checks + audit (high)</x:t>
        </x:is>
      </x:c>
    </x:row>
    <x:row r="32">
      <x:c r="A32" s="3" t="inlineStr">
        <x:is>
          <x:t xml:space="preserve">Weekly platform revenue (establishing)</x:t>
        </x:is>
      </x:c>
      <x:c r="B32" s="34">
        <x:f>B9*B6*B5*B8</x:f>
        <x:v>6600</x:v>
      </x:c>
      <x:c r="C32" s="3" t="inlineStr">
        <x:is>
          <x:t xml:space="preserve">Workers × hrs/wk × rate × take-rate</x:t>
        </x:is>
      </x:c>
    </x:row>
    <x:row r="33">
      <x:c r="A33" s="3" t="inlineStr">
        <x:is>
          <x:t xml:space="preserve">Payback weeks (low)</x:t>
        </x:is>
      </x:c>
      <x:c r="B33" s="25">
        <x:f>B30/B32</x:f>
        <x:v>0.7848484848484848</x:v>
      </x:c>
      <x:c r="C33" s="3" t="inlineStr">
        <x:is>
          <x:t xml:space="preserve">Cost ÷ weekly revenue</x:t>
        </x:is>
      </x:c>
    </x:row>
    <x:row r="34">
      <x:c r="A34" s="3" t="inlineStr">
        <x:is>
          <x:t xml:space="preserve">Payback weeks (high)</x:t>
        </x:is>
      </x:c>
      <x:c r="B34" s="25">
        <x:f>B31/B32</x:f>
        <x:v>1.0272727272727273</x:v>
      </x:c>
      <x:c r="C34" s="3" t="inlineStr">
        <x:is>
          <x:t xml:space="preserve">Cost ÷ weekly revenue</x:t>
        </x:is>
      </x:c>
    </x:row>
    <x:row r="35">
      <x:c r="A35" s="3" t="inlineStr">
        <x:is>
          <x:t xml:space="preserve">5-year revenue multiple on reg cost (low)</x:t>
        </x:is>
      </x:c>
      <x:c r="B35" s="26">
        <x:f>H22/B30</x:f>
        <x:v>3345.868725868726</x:v>
      </x:c>
      <x:c r="C35" s="3" t="inlineStr">
        <x:is>
          <x:t xml:space="preserve">5-year platform revenue ÷ reg cost</x:t>
        </x:is>
      </x:c>
    </x:row>
    <x:row r="36">
      <x:c r="A36" s="3" t="inlineStr">
        <x:is>
          <x:t xml:space="preserve">5-year revenue multiple on reg cost (high)</x:t>
        </x:is>
      </x:c>
      <x:c r="B36" s="26">
        <x:f>H22/B31</x:f>
        <x:v>2556.283185840708</x:v>
      </x:c>
      <x:c r="C36" s="3" t="inlineStr">
        <x:is>
          <x:t xml:space="preserve">5-year platform revenue ÷ reg cost</x:t>
        </x:is>
      </x:c>
    </x:row>
    <x:row r="39">
      <x:c r="A39" s="27" t="inlineStr">
        <x:is>
          <x:t xml:space="preserve">Payback sensitivity (weeks) — by active workers in establishment phase</x:t>
        </x:is>
      </x:c>
      <x:c r="B39" s="31" t="n"/>
      <x:c r="C39" s="31" t="n"/>
      <x:c r="D39" s="31" t="n"/>
      <x:c r="E39" s="31" t="n"/>
      <x:c r="F39" s="32" t="n"/>
    </x:row>
    <x:row r="40">
      <x:c r="A40" s="11" t="inlineStr">
        <x:is>
          <x:t xml:space="preserve">Active workers</x:t>
        </x:is>
      </x:c>
      <x:c r="B40" s="11" t="inlineStr">
        <x:is>
          <x:t xml:space="preserve">Weekly revenue</x:t>
        </x:is>
      </x:c>
      <x:c r="C40" s="11" t="inlineStr">
        <x:is>
          <x:t xml:space="preserve">Reg cost (low)</x:t>
        </x:is>
      </x:c>
      <x:c r="D40" s="11" t="inlineStr">
        <x:is>
          <x:t xml:space="preserve">Reg cost (high)</x:t>
        </x:is>
      </x:c>
      <x:c r="E40" s="11" t="inlineStr">
        <x:is>
          <x:t xml:space="preserve">Payback low (wks)</x:t>
        </x:is>
      </x:c>
      <x:c r="F40" s="11" t="inlineStr">
        <x:is>
          <x:t xml:space="preserve">Payback high (wks)</x:t>
        </x:is>
      </x:c>
    </x:row>
    <x:row r="41">
      <x:c r="A41" s="28" t="n">
        <x:v>25</x:v>
      </x:c>
      <x:c r="B41" s="34">
        <x:f>A41*$B$6*$B$5*$B$8</x:f>
        <x:v>4125</x:v>
      </x:c>
      <x:c r="C41" s="34">
        <x:f>A41*$B$10 + $B$11</x:f>
        <x:v>3575</x:v>
      </x:c>
      <x:c r="D41" s="34">
        <x:f>A41*$B$10 + $B$12</x:f>
        <x:v>5175</x:v>
      </x:c>
      <x:c r="E41" s="29">
        <x:f>C41/B41</x:f>
        <x:v>0.8666666666666667</x:v>
      </x:c>
      <x:c r="F41" s="29">
        <x:f>D41/B41</x:f>
        <x:v>1.2545454545454546</x:v>
      </x:c>
    </x:row>
    <x:row r="42">
      <x:c r="A42" s="28" t="n">
        <x:v>40</x:v>
      </x:c>
      <x:c r="B42" s="34">
        <x:f>A42*$B$6*$B$5*$B$8</x:f>
        <x:v>6600</x:v>
      </x:c>
      <x:c r="C42" s="34">
        <x:f>A42*$B$10 + $B$11</x:f>
        <x:v>5180</x:v>
      </x:c>
      <x:c r="D42" s="34">
        <x:f>A42*$B$10 + $B$12</x:f>
        <x:v>6780</x:v>
      </x:c>
      <x:c r="E42" s="29">
        <x:f>C42/B42</x:f>
        <x:v>0.7848484848484848</x:v>
      </x:c>
      <x:c r="F42" s="29">
        <x:f>D42/B42</x:f>
        <x:v>1.0272727272727273</x:v>
      </x:c>
    </x:row>
    <x:row r="43">
      <x:c r="A43" s="28" t="n">
        <x:v>50</x:v>
      </x:c>
      <x:c r="B43" s="34">
        <x:f>A43*$B$6*$B$5*$B$8</x:f>
        <x:v>8250</x:v>
      </x:c>
      <x:c r="C43" s="34">
        <x:f>A43*$B$10 + $B$11</x:f>
        <x:v>6250</x:v>
      </x:c>
      <x:c r="D43" s="34">
        <x:f>A43*$B$10 + $B$12</x:f>
        <x:v>7850</x:v>
      </x:c>
      <x:c r="E43" s="29">
        <x:f>C43/B43</x:f>
        <x:v>0.7575757575757576</x:v>
      </x:c>
      <x:c r="F43" s="29">
        <x:f>D43/B43</x:f>
        <x:v>0.9515151515151515</x:v>
      </x:c>
    </x:row>
    <x:row r="45" ht="48" customHeight="1">
      <x:c r="A45" s="30" t="inlineStr">
        <x:is>
          <x:t xml:space="preserve">Notes: This model estimates platform revenue from support-work bookings only (transport revenue excluded). Direct registration costs include NSW worker checks + an assumed verification audit range; actual audit costs vary by auditor and scope. See Assumptions sheet for source URLs and editable inputs.</x:t>
        </x:is>
      </x:c>
      <x:c r="B45" s="36" t="n"/>
      <x:c r="C45" s="36" t="n"/>
      <x:c r="D45" s="36" t="n"/>
      <x:c r="E45" s="36" t="n"/>
      <x:c r="F45" s="36" t="n"/>
      <x:c r="G45" s="36" t="n"/>
      <x:c r="H45" s="36" t="n"/>
      <x:c r="I45" s="36" t="n"/>
      <x:c r="J45" s="37" t="n"/>
    </x:row>
    <x:row r="46">
      <x:c r="A46" s="38" t="n"/>
      <x:c r="J46" s="39" t="n"/>
    </x:row>
    <x:row r="47">
      <x:c r="A47" s="40" t="n"/>
      <x:c r="B47" s="41" t="n"/>
      <x:c r="C47" s="41" t="n"/>
      <x:c r="D47" s="41" t="n"/>
      <x:c r="E47" s="41" t="n"/>
      <x:c r="F47" s="41" t="n"/>
      <x:c r="G47" s="41" t="n"/>
      <x:c r="H47" s="41" t="n"/>
      <x:c r="I47" s="41" t="n"/>
      <x:c r="J47" s="42" t="n"/>
    </x:row>
  </x:sheetData>
  <x:mergeCells>
    <x:mergeCell ref="A1:J1"/>
    <x:mergeCell ref="A45:J47"/>
    <x:mergeCell ref="A3:D3"/>
    <x:mergeCell ref="A15:J15"/>
    <x:mergeCell ref="A39:F39"/>
    <x:mergeCell ref="A25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6" customWidth="1"/>
    <x:col min="3" max="3" width="38" customWidth="1"/>
    <x:col min="4" max="4" width="18" customWidth="1"/>
    <x:col min="5" max="5" width="16" customWidth="1"/>
    <x:col min="6" max="6" width="16" customWidth="1"/>
    <x:col min="7" max="7" width="18" customWidth="1"/>
    <x:col min="8" max="8" width="18" customWidth="1"/>
    <x:col min="9" max="9" width="18" customWidth="1"/>
    <x:col min="10" max="10" width="26" customWidth="1"/>
  </x:cols>
  <x:sheetData>
    <x:row r="1" ht="28" customHeight="1">
      <x:c r="A1" s="1" t="inlineStr">
        <x:is>
          <x:t xml:space="preserve">Scenario: Aggressive 18% — Revenue + Registration Payback</x:t>
        </x:is>
      </x:c>
    </x:row>
    <x:row r="3">
      <x:c r="A3" s="10" t="inlineStr">
        <x:is>
          <x:t xml:space="preserve">Inputs</x:t>
        </x:is>
      </x:c>
      <x:c r="B3" s="31" t="n"/>
      <x:c r="C3" s="31" t="n"/>
      <x:c r="D3" s="32" t="n"/>
    </x:row>
    <x:row r="4">
      <x:c r="A4" s="11" t="inlineStr">
        <x:is>
          <x:t xml:space="preserve">Item</x:t>
        </x:is>
      </x:c>
      <x:c r="B4" s="11" t="inlineStr">
        <x:is>
          <x:t xml:space="preserve">Value</x:t>
        </x:is>
      </x:c>
      <x:c r="C4" s="11" t="inlineStr">
        <x:is>
          <x:t xml:space="preserve">Notes</x:t>
        </x:is>
      </x:c>
    </x:row>
    <x:row r="5">
      <x:c r="A5" s="3" t="inlineStr">
        <x:is>
          <x:t xml:space="preserve">Hourly rate (AUD/hr)</x:t>
        </x:is>
      </x:c>
      <x:c r="B5" s="12">
        <x:f>Assumptions!B4</x:f>
        <x:v>55</x:v>
      </x:c>
      <x:c r="C5" s="3" t="inlineStr">
        <x:is>
          <x:t xml:space="preserve">Set by you ($55)</x:t>
        </x:is>
      </x:c>
    </x:row>
    <x:row r="6">
      <x:c r="A6" s="3" t="inlineStr">
        <x:is>
          <x:t xml:space="preserve">Hours per active worker per week</x:t>
        </x:is>
      </x:c>
      <x:c r="B6" s="13">
        <x:f>Assumptions!B5</x:f>
        <x:v>20</x:v>
      </x:c>
      <x:c r="C6" s="3" t="inlineStr">
        <x:is>
          <x:t xml:space="preserve">Set by you (20 hrs/week)</x:t>
        </x:is>
      </x:c>
    </x:row>
    <x:row r="7">
      <x:c r="A7" s="3" t="inlineStr">
        <x:is>
          <x:t xml:space="preserve">Weeks per year</x:t>
        </x:is>
      </x:c>
      <x:c r="B7" s="13">
        <x:f>Assumptions!B6</x:f>
        <x:v>52</x:v>
      </x:c>
      <x:c r="C7" s="3" t="inlineStr">
        <x:is>
          <x:t xml:space="preserve">52</x:t>
        </x:is>
      </x:c>
    </x:row>
    <x:row r="8">
      <x:c r="A8" s="3" t="inlineStr">
        <x:is>
          <x:t xml:space="preserve">Platform take-rate</x:t>
        </x:is>
      </x:c>
      <x:c r="B8" s="14">
        <x:f>Assumptions!B14</x:f>
        <x:v>0.18</x:v>
      </x:c>
      <x:c r="C8" s="3" t="inlineStr">
        <x:is>
          <x:t xml:space="preserve">Scenario-specific</x:t>
        </x:is>
      </x:c>
    </x:row>
    <x:row r="9">
      <x:c r="A9" s="3" t="inlineStr">
        <x:is>
          <x:t xml:space="preserve">Initial active workers for payback</x:t>
        </x:is>
      </x:c>
      <x:c r="B9" s="13">
        <x:f>Assumptions!B10</x:f>
        <x:v>40</x:v>
      </x:c>
      <x:c r="C9" s="3" t="inlineStr">
        <x:is>
          <x:t xml:space="preserve">Midpoint (40)</x:t>
        </x:is>
      </x:c>
    </x:row>
    <x:row r="10">
      <x:c r="A10" s="3" t="inlineStr">
        <x:is>
          <x:t xml:space="preserve">Worker check fee (NSW)</x:t>
        </x:is>
      </x:c>
      <x:c r="B10" s="12">
        <x:f>Assumptions!B7</x:f>
        <x:v>107</x:v>
      </x:c>
      <x:c r="C10" s="3" t="inlineStr">
        <x:is>
          <x:t xml:space="preserve">Paid worker; 5-year validity</x:t>
        </x:is>
      </x:c>
    </x:row>
    <x:row r="11">
      <x:c r="A11" s="3" t="inlineStr">
        <x:is>
          <x:t xml:space="preserve">Verification audit cost (low)</x:t>
        </x:is>
      </x:c>
      <x:c r="B11" s="12">
        <x:f>Assumptions!B8</x:f>
        <x:v>900</x:v>
      </x:c>
      <x:c r="C11" s="3" t="inlineStr">
        <x:is>
          <x:t xml:space="preserve">Estimate; get quotes</x:t>
        </x:is>
      </x:c>
    </x:row>
    <x:row r="12">
      <x:c r="A12" s="3" t="inlineStr">
        <x:is>
          <x:t xml:space="preserve">Verification audit cost (high)</x:t>
        </x:is>
      </x:c>
      <x:c r="B12" s="12">
        <x:f>Assumptions!B9</x:f>
        <x:v>2500</x:v>
      </x:c>
      <x:c r="C12" s="3" t="inlineStr">
        <x:is>
          <x:t xml:space="preserve">Estimate; get quotes</x:t>
        </x:is>
      </x:c>
    </x:row>
    <x:row r="15">
      <x:c r="A15" s="7" t="inlineStr">
        <x:is>
          <x:t xml:space="preserve">5-year projections (support work only; transport revenue excluded)</x:t>
        </x:is>
      </x:c>
      <x:c r="B15" s="31" t="n"/>
      <x:c r="C15" s="31" t="n"/>
      <x:c r="D15" s="31" t="n"/>
      <x:c r="E15" s="31" t="n"/>
      <x:c r="F15" s="31" t="n"/>
      <x:c r="G15" s="31" t="n"/>
      <x:c r="H15" s="31" t="n"/>
      <x:c r="I15" s="31" t="n"/>
      <x:c r="J15" s="32" t="n"/>
    </x:row>
    <x:row r="16" ht="34" customHeight="1">
      <x:c r="A16" s="2" t="inlineStr">
        <x:is>
          <x:t xml:space="preserve">Year</x:t>
        </x:is>
      </x:c>
      <x:c r="B16" s="2" t="inlineStr">
        <x:is>
          <x:t xml:space="preserve">Avg active workers</x:t>
        </x:is>
      </x:c>
      <x:c r="C16" s="2" t="inlineStr">
        <x:is>
          <x:t xml:space="preserve">Hours/week</x:t>
        </x:is>
      </x:c>
      <x:c r="D16" s="2" t="inlineStr">
        <x:is>
          <x:t xml:space="preserve">Rate (AUD/hr)</x:t>
        </x:is>
      </x:c>
      <x:c r="E16" s="2" t="inlineStr">
        <x:is>
          <x:t xml:space="preserve">Take-rate</x:t>
        </x:is>
      </x:c>
      <x:c r="F16" s="33" t="inlineStr">
        <x:is>
          <x:t xml:space="preserve">Annual billable hours</x:t>
        </x:is>
      </x:c>
      <x:c r="G16" s="33" t="inlineStr">
        <x:is>
          <x:t xml:space="preserve">GMV (AUD)</x:t>
        </x:is>
      </x:c>
      <x:c r="H16" s="33" t="inlineStr">
        <x:is>
          <x:t xml:space="preserve">Platform revenue (AUD)</x:t>
        </x:is>
      </x:c>
      <x:c r="I16" s="33" t="inlineStr">
        <x:is>
          <x:t xml:space="preserve">Cumulative revenue</x:t>
        </x:is>
      </x:c>
      <x:c r="J16" s="2" t="inlineStr">
        <x:is>
          <x:t xml:space="preserve">Notes</x:t>
        </x:is>
      </x:c>
    </x:row>
    <x:row r="17">
      <x:c r="A17" s="15" t="n">
        <x:v>1</x:v>
      </x:c>
      <x:c r="B17" s="16">
        <x:f>Assumptions!B19</x:f>
        <x:v>40</x:v>
      </x:c>
      <x:c r="C17" s="17">
        <x:f>$B$6</x:f>
        <x:v>20</x:v>
      </x:c>
      <x:c r="D17" s="34">
        <x:f>$B$5</x:f>
        <x:v>55</x:v>
      </x:c>
      <x:c r="E17" s="19">
        <x:f>$B$8</x:f>
        <x:v>0.18</x:v>
      </x:c>
      <x:c r="F17" s="34">
        <x:f>B17*C17*$B$7</x:f>
        <x:v>41600</x:v>
      </x:c>
      <x:c r="G17" s="34">
        <x:f>F17*D17</x:f>
        <x:v>2288000</x:v>
      </x:c>
      <x:c r="H17" s="34">
        <x:f>G17*E17</x:f>
        <x:v>411840</x:v>
      </x:c>
      <x:c r="I17" s="34">
        <x:f>SUM($H$17:H17)</x:f>
        <x:v>411840</x:v>
      </x:c>
      <x:c r="J17" s="3" t="inlineStr">
        <x:is>
          <x:t xml:space="preserve"/>
        </x:is>
      </x:c>
    </x:row>
    <x:row r="18">
      <x:c r="A18" s="15" t="n">
        <x:v>2</x:v>
      </x:c>
      <x:c r="B18" s="16">
        <x:f>Assumptions!B20</x:f>
        <x:v>130</x:v>
      </x:c>
      <x:c r="C18" s="17">
        <x:f>$B$6</x:f>
        <x:v>20</x:v>
      </x:c>
      <x:c r="D18" s="34">
        <x:f>$B$5</x:f>
        <x:v>55</x:v>
      </x:c>
      <x:c r="E18" s="19">
        <x:f>$B$8</x:f>
        <x:v>0.18</x:v>
      </x:c>
      <x:c r="F18" s="34">
        <x:f>B18*C18*$B$7</x:f>
        <x:v>135200</x:v>
      </x:c>
      <x:c r="G18" s="34">
        <x:f>F18*D18</x:f>
        <x:v>7436000</x:v>
      </x:c>
      <x:c r="H18" s="34">
        <x:f>G18*E18</x:f>
        <x:v>1338480</x:v>
      </x:c>
      <x:c r="I18" s="34">
        <x:f>SUM($H$17:H18)</x:f>
        <x:v>1750320</x:v>
      </x:c>
      <x:c r="J18" s="3" t="inlineStr">
        <x:is>
          <x:t xml:space="preserve"/>
        </x:is>
      </x:c>
    </x:row>
    <x:row r="19">
      <x:c r="A19" s="15" t="n">
        <x:v>3</x:v>
      </x:c>
      <x:c r="B19" s="16">
        <x:f>Assumptions!B21</x:f>
        <x:v>325</x:v>
      </x:c>
      <x:c r="C19" s="17">
        <x:f>$B$6</x:f>
        <x:v>20</x:v>
      </x:c>
      <x:c r="D19" s="34">
        <x:f>$B$5</x:f>
        <x:v>55</x:v>
      </x:c>
      <x:c r="E19" s="19">
        <x:f>$B$8</x:f>
        <x:v>0.18</x:v>
      </x:c>
      <x:c r="F19" s="34">
        <x:f>B19*C19*$B$7</x:f>
        <x:v>338000</x:v>
      </x:c>
      <x:c r="G19" s="34">
        <x:f>F19*D19</x:f>
        <x:v>18590000</x:v>
      </x:c>
      <x:c r="H19" s="34">
        <x:f>G19*E19</x:f>
        <x:v>3346200</x:v>
      </x:c>
      <x:c r="I19" s="34">
        <x:f>SUM($H$17:H19)</x:f>
        <x:v>5096520</x:v>
      </x:c>
      <x:c r="J19" s="3" t="inlineStr">
        <x:is>
          <x:t xml:space="preserve"/>
        </x:is>
      </x:c>
    </x:row>
    <x:row r="20">
      <x:c r="A20" s="15" t="n">
        <x:v>4</x:v>
      </x:c>
      <x:c r="B20" s="16">
        <x:f>Assumptions!B22</x:f>
        <x:v>625</x:v>
      </x:c>
      <x:c r="C20" s="17">
        <x:f>$B$6</x:f>
        <x:v>20</x:v>
      </x:c>
      <x:c r="D20" s="34">
        <x:f>$B$5</x:f>
        <x:v>55</x:v>
      </x:c>
      <x:c r="E20" s="19">
        <x:f>$B$8</x:f>
        <x:v>0.18</x:v>
      </x:c>
      <x:c r="F20" s="34">
        <x:f>B20*C20*$B$7</x:f>
        <x:v>650000</x:v>
      </x:c>
      <x:c r="G20" s="34">
        <x:f>F20*D20</x:f>
        <x:v>35750000</x:v>
      </x:c>
      <x:c r="H20" s="34">
        <x:f>G20*E20</x:f>
        <x:v>6435000</x:v>
      </x:c>
      <x:c r="I20" s="34">
        <x:f>SUM($H$17:H20)</x:f>
        <x:v>11531520</x:v>
      </x:c>
      <x:c r="J20" s="3" t="inlineStr">
        <x:is>
          <x:t xml:space="preserve"/>
        </x:is>
      </x:c>
    </x:row>
    <x:row r="21">
      <x:c r="A21" s="15" t="n">
        <x:v>5</x:v>
      </x:c>
      <x:c r="B21" s="16">
        <x:f>Assumptions!B23</x:f>
        <x:v>900</x:v>
      </x:c>
      <x:c r="C21" s="17">
        <x:f>$B$6</x:f>
        <x:v>20</x:v>
      </x:c>
      <x:c r="D21" s="34">
        <x:f>$B$5</x:f>
        <x:v>55</x:v>
      </x:c>
      <x:c r="E21" s="19">
        <x:f>$B$8</x:f>
        <x:v>0.18</x:v>
      </x:c>
      <x:c r="F21" s="34">
        <x:f>B21*C21*$B$7</x:f>
        <x:v>936000</x:v>
      </x:c>
      <x:c r="G21" s="34">
        <x:f>F21*D21</x:f>
        <x:v>51480000</x:v>
      </x:c>
      <x:c r="H21" s="34">
        <x:f>G21*E21</x:f>
        <x:v>9266400</x:v>
      </x:c>
      <x:c r="I21" s="34">
        <x:f>SUM($H$17:H21)</x:f>
        <x:v>20797920</x:v>
      </x:c>
      <x:c r="J21" s="3" t="inlineStr">
        <x:is>
          <x:t xml:space="preserve"/>
        </x:is>
      </x:c>
    </x:row>
    <x:row r="22">
      <x:c r="A22" s="20" t="inlineStr">
        <x:is>
          <x:t xml:space="preserve">Total</x:t>
        </x:is>
      </x:c>
      <x:c r="B22" s="21" t="n"/>
      <x:c r="C22" s="21" t="n"/>
      <x:c r="D22" s="21" t="n"/>
      <x:c r="E22" s="21" t="n"/>
      <x:c r="F22" s="35">
        <x:f>SUM(F17:F21)</x:f>
        <x:v>2100800</x:v>
      </x:c>
      <x:c r="G22" s="35">
        <x:f>SUM(G17:G21)</x:f>
        <x:v>115544000</x:v>
      </x:c>
      <x:c r="H22" s="35">
        <x:f>SUM(H17:H21)</x:f>
        <x:v>20797920</x:v>
      </x:c>
      <x:c r="I22" s="35">
        <x:f>H22</x:f>
        <x:v>20797920</x:v>
      </x:c>
      <x:c r="J22" s="23" t="inlineStr">
        <x:is>
          <x:t xml:space="preserve">5-year totals</x:t>
        </x:is>
      </x:c>
    </x:row>
    <x:row r="25">
      <x:c r="A25" s="7" t="inlineStr">
        <x:is>
          <x:t xml:space="preserve">Registration &amp; screening payback (direct cash costs only)</x:t>
        </x:is>
      </x:c>
      <x:c r="B25" s="31" t="n"/>
      <x:c r="C25" s="31" t="n"/>
      <x:c r="D25" s="31" t="n"/>
      <x:c r="E25" s="31" t="n"/>
      <x:c r="F25" s="31" t="n"/>
      <x:c r="G25" s="31" t="n"/>
      <x:c r="H25" s="31" t="n"/>
      <x:c r="I25" s="31" t="n"/>
      <x:c r="J25" s="32" t="n"/>
    </x:row>
    <x:row r="26">
      <x:c r="A26" s="11" t="inlineStr">
        <x:is>
          <x:t xml:space="preserve">Item</x:t>
        </x:is>
      </x:c>
      <x:c r="B26" s="11" t="inlineStr">
        <x:is>
          <x:t xml:space="preserve">Value</x:t>
        </x:is>
      </x:c>
      <x:c r="C26" s="11" t="inlineStr">
        <x:is>
          <x:t xml:space="preserve">Notes</x:t>
        </x:is>
      </x:c>
    </x:row>
    <x:row r="27">
      <x:c r="A27" s="3" t="inlineStr">
        <x:is>
          <x:t xml:space="preserve">Initial worker checks cost</x:t>
        </x:is>
      </x:c>
      <x:c r="B27" s="34">
        <x:f>B9*B10</x:f>
        <x:v>4280</x:v>
      </x:c>
      <x:c r="C27" s="3" t="inlineStr">
        <x:is>
          <x:t xml:space="preserve">Workers × $107</x:t>
        </x:is>
      </x:c>
    </x:row>
    <x:row r="28">
      <x:c r="A28" s="3" t="inlineStr">
        <x:is>
          <x:t xml:space="preserve">Audit cost (low)</x:t>
        </x:is>
      </x:c>
      <x:c r="B28" s="34">
        <x:f>B11</x:f>
        <x:v>900</x:v>
      </x:c>
      <x:c r="C28" s="3" t="inlineStr">
        <x:is>
          <x:t xml:space="preserve">Verification audit estimate</x:t>
        </x:is>
      </x:c>
    </x:row>
    <x:row r="29">
      <x:c r="A29" s="3" t="inlineStr">
        <x:is>
          <x:t xml:space="preserve">Audit cost (high)</x:t>
        </x:is>
      </x:c>
      <x:c r="B29" s="34">
        <x:f>B12</x:f>
        <x:v>2500</x:v>
      </x:c>
      <x:c r="C29" s="3" t="inlineStr">
        <x:is>
          <x:t xml:space="preserve">Verification audit estimate</x:t>
        </x:is>
      </x:c>
    </x:row>
    <x:row r="30">
      <x:c r="A30" s="3" t="inlineStr">
        <x:is>
          <x:t xml:space="preserve">Total direct reg cost (low)</x:t>
        </x:is>
      </x:c>
      <x:c r="B30" s="24">
        <x:f>B27+B28</x:f>
        <x:v>5180</x:v>
      </x:c>
      <x:c r="C30" s="3" t="inlineStr">
        <x:is>
          <x:t xml:space="preserve">Worker checks + audit (low)</x:t>
        </x:is>
      </x:c>
    </x:row>
    <x:row r="31">
      <x:c r="A31" s="3" t="inlineStr">
        <x:is>
          <x:t xml:space="preserve">Total direct reg cost (high)</x:t>
        </x:is>
      </x:c>
      <x:c r="B31" s="24">
        <x:f>B27+B29</x:f>
        <x:v>6780</x:v>
      </x:c>
      <x:c r="C31" s="3" t="inlineStr">
        <x:is>
          <x:t xml:space="preserve">Worker checks + audit (high)</x:t>
        </x:is>
      </x:c>
    </x:row>
    <x:row r="32">
      <x:c r="A32" s="3" t="inlineStr">
        <x:is>
          <x:t xml:space="preserve">Weekly platform revenue (establishing)</x:t>
        </x:is>
      </x:c>
      <x:c r="B32" s="34">
        <x:f>B9*B6*B5*B8</x:f>
        <x:v>7920</x:v>
      </x:c>
      <x:c r="C32" s="3" t="inlineStr">
        <x:is>
          <x:t xml:space="preserve">Workers × hrs/wk × rate × take-rate</x:t>
        </x:is>
      </x:c>
    </x:row>
    <x:row r="33">
      <x:c r="A33" s="3" t="inlineStr">
        <x:is>
          <x:t xml:space="preserve">Payback weeks (low)</x:t>
        </x:is>
      </x:c>
      <x:c r="B33" s="25">
        <x:f>B30/B32</x:f>
        <x:v>0.6540404040404041</x:v>
      </x:c>
      <x:c r="C33" s="3" t="inlineStr">
        <x:is>
          <x:t xml:space="preserve">Cost ÷ weekly revenue</x:t>
        </x:is>
      </x:c>
    </x:row>
    <x:row r="34">
      <x:c r="A34" s="3" t="inlineStr">
        <x:is>
          <x:t xml:space="preserve">Payback weeks (high)</x:t>
        </x:is>
      </x:c>
      <x:c r="B34" s="25">
        <x:f>B31/B32</x:f>
        <x:v>0.8560606060606061</x:v>
      </x:c>
      <x:c r="C34" s="3" t="inlineStr">
        <x:is>
          <x:t xml:space="preserve">Cost ÷ weekly revenue</x:t>
        </x:is>
      </x:c>
    </x:row>
    <x:row r="35">
      <x:c r="A35" s="3" t="inlineStr">
        <x:is>
          <x:t xml:space="preserve">5-year revenue multiple on reg cost (low)</x:t>
        </x:is>
      </x:c>
      <x:c r="B35" s="26">
        <x:f>H22/B30</x:f>
        <x:v>4015.042471042471</x:v>
      </x:c>
      <x:c r="C35" s="3" t="inlineStr">
        <x:is>
          <x:t xml:space="preserve">5-year platform revenue ÷ reg cost</x:t>
        </x:is>
      </x:c>
    </x:row>
    <x:row r="36">
      <x:c r="A36" s="3" t="inlineStr">
        <x:is>
          <x:t xml:space="preserve">5-year revenue multiple on reg cost (high)</x:t>
        </x:is>
      </x:c>
      <x:c r="B36" s="26">
        <x:f>H22/B31</x:f>
        <x:v>3067.5398230088495</x:v>
      </x:c>
      <x:c r="C36" s="3" t="inlineStr">
        <x:is>
          <x:t xml:space="preserve">5-year platform revenue ÷ reg cost</x:t>
        </x:is>
      </x:c>
    </x:row>
    <x:row r="39">
      <x:c r="A39" s="27" t="inlineStr">
        <x:is>
          <x:t xml:space="preserve">Payback sensitivity (weeks) — by active workers in establishment phase</x:t>
        </x:is>
      </x:c>
      <x:c r="B39" s="31" t="n"/>
      <x:c r="C39" s="31" t="n"/>
      <x:c r="D39" s="31" t="n"/>
      <x:c r="E39" s="31" t="n"/>
      <x:c r="F39" s="32" t="n"/>
    </x:row>
    <x:row r="40">
      <x:c r="A40" s="11" t="inlineStr">
        <x:is>
          <x:t xml:space="preserve">Active workers</x:t>
        </x:is>
      </x:c>
      <x:c r="B40" s="11" t="inlineStr">
        <x:is>
          <x:t xml:space="preserve">Weekly revenue</x:t>
        </x:is>
      </x:c>
      <x:c r="C40" s="11" t="inlineStr">
        <x:is>
          <x:t xml:space="preserve">Reg cost (low)</x:t>
        </x:is>
      </x:c>
      <x:c r="D40" s="11" t="inlineStr">
        <x:is>
          <x:t xml:space="preserve">Reg cost (high)</x:t>
        </x:is>
      </x:c>
      <x:c r="E40" s="11" t="inlineStr">
        <x:is>
          <x:t xml:space="preserve">Payback low (wks)</x:t>
        </x:is>
      </x:c>
      <x:c r="F40" s="11" t="inlineStr">
        <x:is>
          <x:t xml:space="preserve">Payback high (wks)</x:t>
        </x:is>
      </x:c>
    </x:row>
    <x:row r="41">
      <x:c r="A41" s="28" t="n">
        <x:v>25</x:v>
      </x:c>
      <x:c r="B41" s="34">
        <x:f>A41*$B$6*$B$5*$B$8</x:f>
        <x:v>4950</x:v>
      </x:c>
      <x:c r="C41" s="34">
        <x:f>A41*$B$10 + $B$11</x:f>
        <x:v>3575</x:v>
      </x:c>
      <x:c r="D41" s="34">
        <x:f>A41*$B$10 + $B$12</x:f>
        <x:v>5175</x:v>
      </x:c>
      <x:c r="E41" s="29">
        <x:f>C41/B41</x:f>
        <x:v>0.7222222222222222</x:v>
      </x:c>
      <x:c r="F41" s="29">
        <x:f>D41/B41</x:f>
        <x:v>1.0454545454545454</x:v>
      </x:c>
    </x:row>
    <x:row r="42">
      <x:c r="A42" s="28" t="n">
        <x:v>40</x:v>
      </x:c>
      <x:c r="B42" s="34">
        <x:f>A42*$B$6*$B$5*$B$8</x:f>
        <x:v>7920</x:v>
      </x:c>
      <x:c r="C42" s="34">
        <x:f>A42*$B$10 + $B$11</x:f>
        <x:v>5180</x:v>
      </x:c>
      <x:c r="D42" s="34">
        <x:f>A42*$B$10 + $B$12</x:f>
        <x:v>6780</x:v>
      </x:c>
      <x:c r="E42" s="29">
        <x:f>C42/B42</x:f>
        <x:v>0.6540404040404041</x:v>
      </x:c>
      <x:c r="F42" s="29">
        <x:f>D42/B42</x:f>
        <x:v>0.8560606060606061</x:v>
      </x:c>
    </x:row>
    <x:row r="43">
      <x:c r="A43" s="28" t="n">
        <x:v>50</x:v>
      </x:c>
      <x:c r="B43" s="34">
        <x:f>A43*$B$6*$B$5*$B$8</x:f>
        <x:v>9900</x:v>
      </x:c>
      <x:c r="C43" s="34">
        <x:f>A43*$B$10 + $B$11</x:f>
        <x:v>6250</x:v>
      </x:c>
      <x:c r="D43" s="34">
        <x:f>A43*$B$10 + $B$12</x:f>
        <x:v>7850</x:v>
      </x:c>
      <x:c r="E43" s="29">
        <x:f>C43/B43</x:f>
        <x:v>0.6313131313131313</x:v>
      </x:c>
      <x:c r="F43" s="29">
        <x:f>D43/B43</x:f>
        <x:v>0.7929292929292929</x:v>
      </x:c>
    </x:row>
    <x:row r="45" ht="48" customHeight="1">
      <x:c r="A45" s="30" t="inlineStr">
        <x:is>
          <x:t xml:space="preserve">Notes: This model estimates platform revenue from support-work bookings only (transport revenue excluded). Direct registration costs include NSW worker checks + an assumed verification audit range; actual audit costs vary by auditor and scope. See Assumptions sheet for source URLs and editable inputs.</x:t>
        </x:is>
      </x:c>
      <x:c r="B45" s="36" t="n"/>
      <x:c r="C45" s="36" t="n"/>
      <x:c r="D45" s="36" t="n"/>
      <x:c r="E45" s="36" t="n"/>
      <x:c r="F45" s="36" t="n"/>
      <x:c r="G45" s="36" t="n"/>
      <x:c r="H45" s="36" t="n"/>
      <x:c r="I45" s="36" t="n"/>
      <x:c r="J45" s="37" t="n"/>
    </x:row>
    <x:row r="46">
      <x:c r="A46" s="38" t="n"/>
      <x:c r="J46" s="39" t="n"/>
    </x:row>
    <x:row r="47">
      <x:c r="A47" s="40" t="n"/>
      <x:c r="B47" s="41" t="n"/>
      <x:c r="C47" s="41" t="n"/>
      <x:c r="D47" s="41" t="n"/>
      <x:c r="E47" s="41" t="n"/>
      <x:c r="F47" s="41" t="n"/>
      <x:c r="G47" s="41" t="n"/>
      <x:c r="H47" s="41" t="n"/>
      <x:c r="I47" s="41" t="n"/>
      <x:c r="J47" s="42" t="n"/>
    </x:row>
  </x:sheetData>
  <x:mergeCells>
    <x:mergeCell ref="A1:J1"/>
    <x:mergeCell ref="A45:J47"/>
    <x:mergeCell ref="A3:D3"/>
    <x:mergeCell ref="A15:J15"/>
    <x:mergeCell ref="A39:F39"/>
    <x:mergeCell ref="A25:J25"/>
  </x:mergeCells>
  <x:pageMargins left="0.7" right="0.7" top="0.75" bottom="0.75" header="0.3" footer="0.3"/>
</x:worksheet>
</file>